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Decisions" sheetId="1" r:id="rId5"/>
    <sheet state="visible" name="Analytics" sheetId="2" r:id="rId6"/>
    <sheet state="visible" name="Manual Analytics" sheetId="3" r:id="rId7"/>
    <sheet state="visible" name="Companies on Wednesday Waitlist" sheetId="4" r:id="rId8"/>
    <sheet state="visible" name="AERO" sheetId="5" r:id="rId9"/>
    <sheet state="visible" name="AREN" sheetId="6" r:id="rId10"/>
    <sheet state="visible" name="BAEN" sheetId="7" r:id="rId11"/>
    <sheet state="visible" name="BMEN" sheetId="8" r:id="rId12"/>
    <sheet state="visible" name="CHEN" sheetId="9" r:id="rId13"/>
    <sheet state="visible" name="CPSC" sheetId="10" r:id="rId14"/>
    <sheet state="visible" name="CVEN" sheetId="11" r:id="rId15"/>
    <sheet state="visible" name="CECNCEEN" sheetId="12" r:id="rId16"/>
    <sheet state="visible" name="DATA" sheetId="13" r:id="rId17"/>
    <sheet state="visible" name="ELEN" sheetId="14" r:id="rId18"/>
    <sheet state="visible" name="ESET" sheetId="15" r:id="rId19"/>
    <sheet state="visible" name="EVEN" sheetId="16" r:id="rId20"/>
    <sheet state="visible" name="IDIS" sheetId="17" r:id="rId21"/>
    <sheet state="visible" name="ISEN" sheetId="18" r:id="rId22"/>
    <sheet state="visible" name="MEEN" sheetId="19" r:id="rId23"/>
    <sheet state="visible" name="MSEN" sheetId="20" r:id="rId24"/>
    <sheet state="visible" name="MMET" sheetId="21" r:id="rId25"/>
    <sheet state="visible" name="MXET" sheetId="22" r:id="rId26"/>
    <sheet state="visible" name="NUEN" sheetId="23" r:id="rId27"/>
    <sheet state="visible" name="OCEN" sheetId="24" r:id="rId28"/>
    <sheet state="visible" name="PETE" sheetId="25" r:id="rId29"/>
    <sheet state="visible" name="EXTRA" sheetId="26" r:id="rId30"/>
    <sheet state="visible" name="Sorted Companies OutDated" sheetId="27" r:id="rId31"/>
    <sheet state="visible" name="Companies in Majors" sheetId="28" r:id="rId32"/>
    <sheet state="visible" name="Totals" sheetId="29" r:id="rId33"/>
    <sheet state="visible" name="majors" sheetId="30" r:id="rId34"/>
  </sheets>
  <definedNames>
    <definedName hidden="1" localSheetId="0" name="_xlnm._FilterDatabase">'Current Decisions'!$B$1:$B$999</definedName>
    <definedName hidden="1" localSheetId="10" name="_xlnm._FilterDatabase">CVEN!$A$1:$L$228</definedName>
    <definedName hidden="1" localSheetId="26" name="_xlnm._FilterDatabase">'Sorted Companies OutDated'!$G$1:$G$980</definedName>
  </definedNames>
  <calcPr/>
</workbook>
</file>

<file path=xl/sharedStrings.xml><?xml version="1.0" encoding="utf-8"?>
<sst xmlns="http://schemas.openxmlformats.org/spreadsheetml/2006/main" count="4734" uniqueCount="906">
  <si>
    <t>`</t>
  </si>
  <si>
    <t>Date</t>
  </si>
  <si>
    <t>Revenue</t>
  </si>
  <si>
    <t>Work Authorization</t>
  </si>
  <si>
    <t>Glassdoor</t>
  </si>
  <si>
    <t>Relationship with A&amp;M</t>
  </si>
  <si>
    <t>Weeks Pending</t>
  </si>
  <si>
    <t>Decision</t>
  </si>
  <si>
    <t>Requested Wednesday Booths</t>
  </si>
  <si>
    <t>Final Wednesday Booths</t>
  </si>
  <si>
    <t>Requested Thursday Booths</t>
  </si>
  <si>
    <t>Final Thursday Booths</t>
  </si>
  <si>
    <t>Primary Major</t>
  </si>
  <si>
    <t>A&amp;S Engineers, Inc.</t>
  </si>
  <si>
    <t/>
  </si>
  <si>
    <t>ABB Inc.</t>
  </si>
  <si>
    <t>ABS (American Bureau of Shipping)</t>
  </si>
  <si>
    <t>Accuracy</t>
  </si>
  <si>
    <t>Ace Thermal Systems</t>
  </si>
  <si>
    <t>Affiliated Engineers Inc</t>
  </si>
  <si>
    <t>Air Liquide</t>
  </si>
  <si>
    <t>Albemarle Corporation</t>
  </si>
  <si>
    <t>Albers Aerospace</t>
  </si>
  <si>
    <t>Alcon</t>
  </si>
  <si>
    <t>alliantgroup</t>
  </si>
  <si>
    <t>AME</t>
  </si>
  <si>
    <t>Andersen Corporation</t>
  </si>
  <si>
    <t>Applied Climate Solutions</t>
  </si>
  <si>
    <t>Applied Research Laboratories</t>
  </si>
  <si>
    <t>ARCO/Murray National Construction Company</t>
  </si>
  <si>
    <t>Arm, Inc.</t>
  </si>
  <si>
    <t>AtkinsRéalis</t>
  </si>
  <si>
    <t>Atmos Energy</t>
  </si>
  <si>
    <t>Atwell, LLC</t>
  </si>
  <si>
    <t>Audubon Companies</t>
  </si>
  <si>
    <t>Axis Pipe and Tube</t>
  </si>
  <si>
    <t>Baird, Hampton &amp; Brown</t>
  </si>
  <si>
    <t>Baker Engineering and Risk Consultants, Inc.</t>
  </si>
  <si>
    <t>Baxter &amp; Woodman, Inc.</t>
  </si>
  <si>
    <t>Baystar Bayport Polymers, LLC</t>
  </si>
  <si>
    <t>Beckhoff Automation</t>
  </si>
  <si>
    <t>Benesch</t>
  </si>
  <si>
    <t>Bernhard</t>
  </si>
  <si>
    <t>BGE, Inc</t>
  </si>
  <si>
    <t>Black &amp; Veatch</t>
  </si>
  <si>
    <t>BOE Consulting Services LLC</t>
  </si>
  <si>
    <t>BP America Inc. (Gold Partner)</t>
  </si>
  <si>
    <t>Bray International, Inc</t>
  </si>
  <si>
    <t>Brock Solutions</t>
  </si>
  <si>
    <t>Broken Arrow Economic Development Corporation</t>
  </si>
  <si>
    <t>Brownsville Public Utilities Board</t>
  </si>
  <si>
    <t>Bryan Research &amp; Engineering</t>
  </si>
  <si>
    <t>Burns &amp; McDonnell</t>
  </si>
  <si>
    <t>Bush School Online</t>
  </si>
  <si>
    <t>CACI-NASA Johnson Space Center</t>
  </si>
  <si>
    <t>CAM Integrated Solutions, LLC</t>
  </si>
  <si>
    <t>Capco</t>
  </si>
  <si>
    <t>Capitol Aggregates</t>
  </si>
  <si>
    <t>CAPSHER Technology</t>
  </si>
  <si>
    <t>capSpire</t>
  </si>
  <si>
    <t>Cargill (Maroon Partner)</t>
  </si>
  <si>
    <t>Caterpillar Inc.</t>
  </si>
  <si>
    <t>CB&amp;I</t>
  </si>
  <si>
    <t>Centerpoint Energy</t>
  </si>
  <si>
    <t>Champion Technology Services</t>
  </si>
  <si>
    <t>Chevron Phillips Chemical Company - The Woodlands, TX</t>
  </si>
  <si>
    <t>CITGO Refining &amp; Chemical</t>
  </si>
  <si>
    <t>Cobb, Fendley &amp; Associates, Inc.</t>
  </si>
  <si>
    <t>Colliers Engineering &amp; Design</t>
  </si>
  <si>
    <t>ConocoPhillips (Gold Partner)</t>
  </si>
  <si>
    <t>Continental Resources, Inc.</t>
  </si>
  <si>
    <t>Cude Engineers</t>
  </si>
  <si>
    <t>Dally + Associates, Inc.</t>
  </si>
  <si>
    <t>Dashiell Corp.</t>
  </si>
  <si>
    <t>Datum Engineers + Datum Rios</t>
  </si>
  <si>
    <t>Dell Technologies</t>
  </si>
  <si>
    <t>Delta Airlines</t>
  </si>
  <si>
    <t>DMC Inc.</t>
  </si>
  <si>
    <t>Dow inc.</t>
  </si>
  <si>
    <t>Dunaway</t>
  </si>
  <si>
    <t>Dynamic Engineering Consultants, PC</t>
  </si>
  <si>
    <t>Dynamic Systems, Inc.</t>
  </si>
  <si>
    <t>Eastman Chemical</t>
  </si>
  <si>
    <t>EControls | Ethium</t>
  </si>
  <si>
    <t>Elbit Systems of America</t>
  </si>
  <si>
    <t>Encotech Engineering</t>
  </si>
  <si>
    <t>Engineering Consulting Services (ECS)</t>
  </si>
  <si>
    <t>ENTACT, LLC</t>
  </si>
  <si>
    <t>ExxonMobil (Silver Partner)</t>
  </si>
  <si>
    <t>F.H. Paschen</t>
  </si>
  <si>
    <t>FBD Partnership, LP</t>
  </si>
  <si>
    <t>Federal Aviation Administration (FAA)</t>
  </si>
  <si>
    <t>Felsburg Holt &amp; Ullevig</t>
  </si>
  <si>
    <t>Ferrovial</t>
  </si>
  <si>
    <t>Fervo Energy</t>
  </si>
  <si>
    <t>FieldCore, A GE Vernova company</t>
  </si>
  <si>
    <t>Firefly Aerospace</t>
  </si>
  <si>
    <t>FlatironDragados</t>
  </si>
  <si>
    <t>Fluor Corporation</t>
  </si>
  <si>
    <t>FM</t>
  </si>
  <si>
    <t>Freese and Nichols</t>
  </si>
  <si>
    <t>GAF</t>
  </si>
  <si>
    <t>GBA Companies</t>
  </si>
  <si>
    <t>General Dynamics Electric Boat</t>
  </si>
  <si>
    <t>GMcivil</t>
  </si>
  <si>
    <t>Graham Associates, Inc.</t>
  </si>
  <si>
    <t>Granite Construction</t>
  </si>
  <si>
    <t>Great Lakes Dredge &amp; Dock Company</t>
  </si>
  <si>
    <t>Great Plains Manufacturing</t>
  </si>
  <si>
    <t>H+M Industrial EPC</t>
  </si>
  <si>
    <t>Halff Associates, Inc.</t>
  </si>
  <si>
    <t>Halliburton (Silver Partner)</t>
  </si>
  <si>
    <t>Hanson Professional Services, Inc.</t>
  </si>
  <si>
    <t>Hatch Engineering and Consulting Associates</t>
  </si>
  <si>
    <t>HDL Research Lab, Inc.</t>
  </si>
  <si>
    <t>HDR Engineering</t>
  </si>
  <si>
    <t>Heidelberg Materials</t>
  </si>
  <si>
    <t>Hess Corporation</t>
  </si>
  <si>
    <t>Hewlett Packard Enterprise (HPE)</t>
  </si>
  <si>
    <t>HMH</t>
  </si>
  <si>
    <t>Hoffman Construction</t>
  </si>
  <si>
    <t>HR Green</t>
  </si>
  <si>
    <t>HTS Texas</t>
  </si>
  <si>
    <t>Huitt-Zollars, Inc.</t>
  </si>
  <si>
    <t>Idaho National Laboratory (INL)</t>
  </si>
  <si>
    <t>IDS Engineering Group</t>
  </si>
  <si>
    <t>IEA Inc</t>
  </si>
  <si>
    <t>Illinois Department of Transportation ( IDOT)</t>
  </si>
  <si>
    <t>Indorama Ventures</t>
  </si>
  <si>
    <t>INEOS Olefins &amp; Polymers USA</t>
  </si>
  <si>
    <t>Intelligent Engineering Services</t>
  </si>
  <si>
    <t>Jay Cashman, Inc.</t>
  </si>
  <si>
    <t>JE Dunn Construction</t>
  </si>
  <si>
    <t>JMT - Round Rock</t>
  </si>
  <si>
    <t>Johnson &amp; Johnson</t>
  </si>
  <si>
    <t>Jones Engineering Solutions</t>
  </si>
  <si>
    <t>Ketjen Corporation</t>
  </si>
  <si>
    <t>Keystone Concrete</t>
  </si>
  <si>
    <t>KFM Engineering &amp; Design</t>
  </si>
  <si>
    <t>Kiewit</t>
  </si>
  <si>
    <t>Kimley-Horn &amp; Associates Inc</t>
  </si>
  <si>
    <t>Kinectrics AES, Inc.</t>
  </si>
  <si>
    <t>Kirkman Engineering</t>
  </si>
  <si>
    <t>Komatsu Mining Corporation</t>
  </si>
  <si>
    <t>KTCivil</t>
  </si>
  <si>
    <t>L3Harris Technologies (Gold Partner)</t>
  </si>
  <si>
    <t>Labatt Food Service</t>
  </si>
  <si>
    <t>LCRA - Austin</t>
  </si>
  <si>
    <t>Lhoist North America, Inc.</t>
  </si>
  <si>
    <t>Lina T. Ramey and Associates, Inc.</t>
  </si>
  <si>
    <t>Linde Engineering</t>
  </si>
  <si>
    <t>LJA Engineering</t>
  </si>
  <si>
    <t>LJB Inc.</t>
  </si>
  <si>
    <t>Locke Solutions</t>
  </si>
  <si>
    <t>Lockwood, Andrews, and Newnam, Inc.</t>
  </si>
  <si>
    <t>Lone Star Turbo</t>
  </si>
  <si>
    <t>Loram Maintenance of Way</t>
  </si>
  <si>
    <t>Los Alamos National Laboratory</t>
  </si>
  <si>
    <t>LTY Engineers, PLLC</t>
  </si>
  <si>
    <t>Lynn Engineering</t>
  </si>
  <si>
    <t>LyondellBasell</t>
  </si>
  <si>
    <t>M&amp;S Engineering, LLC</t>
  </si>
  <si>
    <t>Mahoney Engineering</t>
  </si>
  <si>
    <t>Mammoet USA</t>
  </si>
  <si>
    <t>Manhard Consulting</t>
  </si>
  <si>
    <t>Marathon Petroleum Corporation</t>
  </si>
  <si>
    <t>Matador Resources</t>
  </si>
  <si>
    <t>Mays Engineering MBA</t>
  </si>
  <si>
    <t>McCarthy Building Companies, Inc.</t>
  </si>
  <si>
    <t>McKinstry</t>
  </si>
  <si>
    <t>Micro Systems Engineering, Inc. (MSEI)</t>
  </si>
  <si>
    <t>Micron Technology, Inc.</t>
  </si>
  <si>
    <t>MISO (Midcontinent Independent System Operator, Inc)</t>
  </si>
  <si>
    <t>MiTek USA, Inc.</t>
  </si>
  <si>
    <t>MMA Texas</t>
  </si>
  <si>
    <t>Mortenson Construction</t>
  </si>
  <si>
    <t>Motiva Enterprises (Silver Partner)</t>
  </si>
  <si>
    <t>Mott MacDonald</t>
  </si>
  <si>
    <t>Nabors Industries</t>
  </si>
  <si>
    <t>Naval Nuclear Laboratory</t>
  </si>
  <si>
    <t>Nikkiso Clean Energy &amp; Industrial Gases</t>
  </si>
  <si>
    <t>NORFOLK NAVAL SHIPYARD</t>
  </si>
  <si>
    <t>NOV National Oilwell Varco</t>
  </si>
  <si>
    <t>Nucor</t>
  </si>
  <si>
    <t>NXP Semiconductors</t>
  </si>
  <si>
    <t>Odyssey Space Research</t>
  </si>
  <si>
    <t>Olin</t>
  </si>
  <si>
    <t>Olsson</t>
  </si>
  <si>
    <t>ONCOR Electric Delivery</t>
  </si>
  <si>
    <t>Oscar Orduno, Inc</t>
  </si>
  <si>
    <t>Owens Corning</t>
  </si>
  <si>
    <t>Oxy</t>
  </si>
  <si>
    <t>Pape-Dawson</t>
  </si>
  <si>
    <t>Patterson-UTI Energy</t>
  </si>
  <si>
    <t>Patti Engineering</t>
  </si>
  <si>
    <t>Paycom</t>
  </si>
  <si>
    <t>Peloton Computer Enterprises</t>
  </si>
  <si>
    <t>PepsiCo</t>
  </si>
  <si>
    <t>Percheron Holdings LLC</t>
  </si>
  <si>
    <t>Pinnacle</t>
  </si>
  <si>
    <t>Plummer Associates, Inc.</t>
  </si>
  <si>
    <t>Powell Industries</t>
  </si>
  <si>
    <t>QTS Data Centers</t>
  </si>
  <si>
    <t>Quiddity Engineering</t>
  </si>
  <si>
    <t>Ramboll</t>
  </si>
  <si>
    <t>Republic Engineering &amp; Development Services</t>
  </si>
  <si>
    <t>Rheem Manufacturing</t>
  </si>
  <si>
    <t>Rimkus</t>
  </si>
  <si>
    <t>Rockwell Automation</t>
  </si>
  <si>
    <t>Rosendin Electric</t>
  </si>
  <si>
    <t>RPT Alliance LLC</t>
  </si>
  <si>
    <t>RTX</t>
  </si>
  <si>
    <t>Rystad Energy</t>
  </si>
  <si>
    <t>Samson Controls, Inc</t>
  </si>
  <si>
    <t>San Jacinto River Authority</t>
  </si>
  <si>
    <t>Sandia National Laboratories</t>
  </si>
  <si>
    <t>Scheibe Consulting, LLC</t>
  </si>
  <si>
    <t>Schnabel</t>
  </si>
  <si>
    <t>School of Engineering Medicine</t>
  </si>
  <si>
    <t>Science Applications International Corporation (SAIC)</t>
  </si>
  <si>
    <t>SEC Test Employer</t>
  </si>
  <si>
    <t>Secretariat</t>
  </si>
  <si>
    <t>SESCO Cement Corp.</t>
  </si>
  <si>
    <t>Shah Smith &amp; Associates, Inc.</t>
  </si>
  <si>
    <t>Shermco Industries</t>
  </si>
  <si>
    <t>Shield Engineering</t>
  </si>
  <si>
    <t>SI Group</t>
  </si>
  <si>
    <t>Signal Peak Silica, LLC</t>
  </si>
  <si>
    <t>SLB</t>
  </si>
  <si>
    <t>SM Energy</t>
  </si>
  <si>
    <t>Southwest Engineers Inc</t>
  </si>
  <si>
    <t>Southwest Research Institute</t>
  </si>
  <si>
    <t>Sparx Engineering</t>
  </si>
  <si>
    <t>Spiars Engineering &amp; Surveying</t>
  </si>
  <si>
    <t>State Farm</t>
  </si>
  <si>
    <t>Steger &amp; Bizzell Engineering</t>
  </si>
  <si>
    <t>Sulzer Turbo Services</t>
  </si>
  <si>
    <t>SynchroGrid</t>
  </si>
  <si>
    <t>TC Energy</t>
  </si>
  <si>
    <t>TechnipFMC</t>
  </si>
  <si>
    <t>Telios Corporation</t>
  </si>
  <si>
    <t>Terracon Consulting</t>
  </si>
  <si>
    <t>Texas A&amp;M Institute of Data Science</t>
  </si>
  <si>
    <t>Texas A&amp;M Military Medicine</t>
  </si>
  <si>
    <t>Texas A&amp;M University School of Public Health</t>
  </si>
  <si>
    <t>Texas Department of Transportation (TXDOT)</t>
  </si>
  <si>
    <t>Texas Instruments (TI)</t>
  </si>
  <si>
    <t>The Acutronic Company</t>
  </si>
  <si>
    <t>The Brandt Companies, LLC</t>
  </si>
  <si>
    <t>TNP</t>
  </si>
  <si>
    <t>Toshiba</t>
  </si>
  <si>
    <t>Toyota</t>
  </si>
  <si>
    <t>TRC Companies</t>
  </si>
  <si>
    <t>Trihydro Corporation</t>
  </si>
  <si>
    <t>Trinity Consultants</t>
  </si>
  <si>
    <t>Ulteig Engineers</t>
  </si>
  <si>
    <t>US Conec Ltd.</t>
  </si>
  <si>
    <t>Valent Partners</t>
  </si>
  <si>
    <t>Valero</t>
  </si>
  <si>
    <t>VEX Robotics</t>
  </si>
  <si>
    <t>Wade Trim</t>
  </si>
  <si>
    <t>Walker Partners</t>
  </si>
  <si>
    <t>Weatherford International (Houston, TX)</t>
  </si>
  <si>
    <t>Weaver Consultants Group</t>
  </si>
  <si>
    <t>Webber LLC</t>
  </si>
  <si>
    <t>Westlake Corporation</t>
  </si>
  <si>
    <t>Westwood Professional Services</t>
  </si>
  <si>
    <t>WGA</t>
  </si>
  <si>
    <t>Wind Energy Transmission Texas</t>
  </si>
  <si>
    <t>Wood</t>
  </si>
  <si>
    <t>Woolpert</t>
  </si>
  <si>
    <t>WRA</t>
  </si>
  <si>
    <t>WSP USA</t>
  </si>
  <si>
    <t>Wylie Engineering</t>
  </si>
  <si>
    <t>X-Energy</t>
  </si>
  <si>
    <t>Yalgo Engineering, LLC</t>
  </si>
  <si>
    <t>Zachry Construction Corporation</t>
  </si>
  <si>
    <t>Saber Power Services</t>
  </si>
  <si>
    <t>Railroad Commission of Texas</t>
  </si>
  <si>
    <t>HMT Engineering &amp; Surveying</t>
  </si>
  <si>
    <t>Cushing Terrell</t>
  </si>
  <si>
    <t>Chevron Corporation (Platinum Partner)</t>
  </si>
  <si>
    <t>AbbVie</t>
  </si>
  <si>
    <t>Entegris, Inc.</t>
  </si>
  <si>
    <t>Burns Engineering</t>
  </si>
  <si>
    <t>Credera</t>
  </si>
  <si>
    <t>Mays Business School - Department of Information &amp; Operations Management</t>
  </si>
  <si>
    <t>Opportune LLP</t>
  </si>
  <si>
    <t>American Electric Power (AEP)</t>
  </si>
  <si>
    <t>Altamira-US, LLC</t>
  </si>
  <si>
    <t>Technip Energies</t>
  </si>
  <si>
    <t>DCS</t>
  </si>
  <si>
    <t>The Boeing Company</t>
  </si>
  <si>
    <t>Jay Cashman Inc.</t>
  </si>
  <si>
    <t>Bachoco OK Foods</t>
  </si>
  <si>
    <t>Covestro LLC</t>
  </si>
  <si>
    <t>Quanta Infrastructure Solutions Group LLC</t>
  </si>
  <si>
    <t>RLK ENGINEERING, INC.</t>
  </si>
  <si>
    <t>Flint Hills Resources</t>
  </si>
  <si>
    <t>Gray Civil</t>
  </si>
  <si>
    <t>Applied Materials Inc</t>
  </si>
  <si>
    <t>Parker Hannifin</t>
  </si>
  <si>
    <t>Harvest Midstream Company</t>
  </si>
  <si>
    <t>Phillips 66 (Silver Partner)</t>
  </si>
  <si>
    <t>Energy Transfer</t>
  </si>
  <si>
    <t>Austin Bridge &amp; Road, L.P.</t>
  </si>
  <si>
    <t>Kinder Morgan</t>
  </si>
  <si>
    <t>Tanium</t>
  </si>
  <si>
    <t>Gulf Companies</t>
  </si>
  <si>
    <t>Epic</t>
  </si>
  <si>
    <t>Keystone Engineering</t>
  </si>
  <si>
    <t>Bauer Foundation Corporation</t>
  </si>
  <si>
    <t>Garmin International, Inc.</t>
  </si>
  <si>
    <t>PCL Solar Constructor USA, Inc.</t>
  </si>
  <si>
    <t>Building Crafts, Inc.</t>
  </si>
  <si>
    <t>Savannah River Mission Completion</t>
  </si>
  <si>
    <t>Tenaris</t>
  </si>
  <si>
    <t>P&amp;G (Procter &amp; Gamble)</t>
  </si>
  <si>
    <t>Barnhart Crane and Rigging</t>
  </si>
  <si>
    <t>Trane Technologies</t>
  </si>
  <si>
    <t>Enterprise Products Company</t>
  </si>
  <si>
    <t>Viridien</t>
  </si>
  <si>
    <t>Honeywell</t>
  </si>
  <si>
    <t>Samsung Austin Semiconductor</t>
  </si>
  <si>
    <t>Aegis Aerospace</t>
  </si>
  <si>
    <t>TRC Companies Inc</t>
  </si>
  <si>
    <t>Calpine Corporation</t>
  </si>
  <si>
    <t>CMTA</t>
  </si>
  <si>
    <t>Qorvo</t>
  </si>
  <si>
    <t>Lubrizol Corporation</t>
  </si>
  <si>
    <t>Global Prior Art Inc.</t>
  </si>
  <si>
    <t>Enercon Services, Inc.</t>
  </si>
  <si>
    <t>Kimberly-Clark</t>
  </si>
  <si>
    <t>Lockheed Martin</t>
  </si>
  <si>
    <t>Bayer U.S.</t>
  </si>
  <si>
    <t>Westinghouse Electric Company</t>
  </si>
  <si>
    <t>Entergy</t>
  </si>
  <si>
    <t>Ovintiv</t>
  </si>
  <si>
    <t>Vinson Process Controls Company</t>
  </si>
  <si>
    <t>Targa Resources</t>
  </si>
  <si>
    <t>Massman Construction Co.</t>
  </si>
  <si>
    <t>Worley</t>
  </si>
  <si>
    <t>NRG/Reliant</t>
  </si>
  <si>
    <t>FUJIFILM Biotechnologies</t>
  </si>
  <si>
    <t>American Airlines</t>
  </si>
  <si>
    <t>Manson Construction Co.</t>
  </si>
  <si>
    <t>Hays Electrical Services</t>
  </si>
  <si>
    <t>Syensqo</t>
  </si>
  <si>
    <t>Daily Thermetrics</t>
  </si>
  <si>
    <t>Textron</t>
  </si>
  <si>
    <t>Pike Engineering</t>
  </si>
  <si>
    <t>Daikin Comfort Technologies</t>
  </si>
  <si>
    <t>MP Materials</t>
  </si>
  <si>
    <t>Skyworks Solutions</t>
  </si>
  <si>
    <t>S&amp;B Engineers and Constructors, Ltd.</t>
  </si>
  <si>
    <t>Goodyear Tire &amp; Rubber Company</t>
  </si>
  <si>
    <t>CRB</t>
  </si>
  <si>
    <t>Kaneka North America</t>
  </si>
  <si>
    <t>STP Nuclear Operating Company</t>
  </si>
  <si>
    <t>TMEIC Corporation Americas</t>
  </si>
  <si>
    <t>BW Design Group</t>
  </si>
  <si>
    <t>Cerris</t>
  </si>
  <si>
    <t>Solar Turbines Inc.</t>
  </si>
  <si>
    <t>UES</t>
  </si>
  <si>
    <t>Infineon Technologies</t>
  </si>
  <si>
    <t>LoneStar NDE Innovations</t>
  </si>
  <si>
    <t>De Nora Water Technologies</t>
  </si>
  <si>
    <t>TSMC</t>
  </si>
  <si>
    <t>Nouryon</t>
  </si>
  <si>
    <t>Ingenia Polymers Inc</t>
  </si>
  <si>
    <t>CLS Industrial Purification</t>
  </si>
  <si>
    <t>Iteris, Inc</t>
  </si>
  <si>
    <t>Genesys Aerosystems</t>
  </si>
  <si>
    <t>The Timken Company</t>
  </si>
  <si>
    <t>Hexagon PPM</t>
  </si>
  <si>
    <t>SICK, Inc.</t>
  </si>
  <si>
    <t>IMEG</t>
  </si>
  <si>
    <t>Manhattan Associates</t>
  </si>
  <si>
    <t>Heat Transfer Specialists, Inc.</t>
  </si>
  <si>
    <t>Pantex</t>
  </si>
  <si>
    <t>MatkinHoover Engineering &amp; Surveying</t>
  </si>
  <si>
    <t>Tallgrass</t>
  </si>
  <si>
    <t>FGF Brands Inc.</t>
  </si>
  <si>
    <t>Integrated Power Services</t>
  </si>
  <si>
    <t>Venture Global LNG</t>
  </si>
  <si>
    <t>Signal Energy</t>
  </si>
  <si>
    <t>Sonoco Products Company</t>
  </si>
  <si>
    <t>NTN Bearing Corporation of America</t>
  </si>
  <si>
    <t>Ecolab</t>
  </si>
  <si>
    <t>Kairos Power</t>
  </si>
  <si>
    <t>*Weaver</t>
  </si>
  <si>
    <t>Evonik</t>
  </si>
  <si>
    <t>EHRA</t>
  </si>
  <si>
    <t>ROSEN Group</t>
  </si>
  <si>
    <t>GE Vernova</t>
  </si>
  <si>
    <t>Draper</t>
  </si>
  <si>
    <t>Civil &amp; Environmental Consultants, Inc.</t>
  </si>
  <si>
    <t>Electric Reliability Council of Texas (ERCOT)</t>
  </si>
  <si>
    <t>SkyWater Technology</t>
  </si>
  <si>
    <t>Argonne National Laboratory Radiological Protection Division</t>
  </si>
  <si>
    <t>HASKELL</t>
  </si>
  <si>
    <t>Fransen Pittman General Contractors</t>
  </si>
  <si>
    <t>Smith Seckman Reid, inc. (SSR)</t>
  </si>
  <si>
    <t>Indus Road &amp; Bridge</t>
  </si>
  <si>
    <t>US Navy</t>
  </si>
  <si>
    <t>Det Norske Veritas (DNV)</t>
  </si>
  <si>
    <t>NCR Atleos</t>
  </si>
  <si>
    <t>Klein Tools, Inc.</t>
  </si>
  <si>
    <t>Ceco Concrete Construction, LLC</t>
  </si>
  <si>
    <t>FTI Consulting</t>
  </si>
  <si>
    <t>Capital One</t>
  </si>
  <si>
    <t>Huntsman</t>
  </si>
  <si>
    <t>MRBgroup</t>
  </si>
  <si>
    <t>Bowman</t>
  </si>
  <si>
    <t>PARIC LLC</t>
  </si>
  <si>
    <t>Gate Precast</t>
  </si>
  <si>
    <t>Talley Riggins Construction Group</t>
  </si>
  <si>
    <t>Hobas Pipe USA</t>
  </si>
  <si>
    <t>IBM</t>
  </si>
  <si>
    <t>Consor Engineers</t>
  </si>
  <si>
    <t>H-E-B</t>
  </si>
  <si>
    <t>Atlas Energy Solutions</t>
  </si>
  <si>
    <t>Lennox International</t>
  </si>
  <si>
    <t>Pariveda</t>
  </si>
  <si>
    <t>Bodycote</t>
  </si>
  <si>
    <t>C. Tumey Law Group PLLC</t>
  </si>
  <si>
    <t>BNSF Railway</t>
  </si>
  <si>
    <t>Gulfstream Aerospace</t>
  </si>
  <si>
    <t>Quanta Services</t>
  </si>
  <si>
    <t>Celanese</t>
  </si>
  <si>
    <t>Palski &amp; Associates, Inc.</t>
  </si>
  <si>
    <t>Salt River Project</t>
  </si>
  <si>
    <t>Rocrich AGV Solutions LLC</t>
  </si>
  <si>
    <t>General Motors</t>
  </si>
  <si>
    <t>GlobalFoundries</t>
  </si>
  <si>
    <t>G-Research</t>
  </si>
  <si>
    <t>Freudenberg Group</t>
  </si>
  <si>
    <t>Texas A&amp;M University - Department of Construction Science</t>
  </si>
  <si>
    <t>Emerson</t>
  </si>
  <si>
    <t>Chart Industries</t>
  </si>
  <si>
    <t>*KPMG</t>
  </si>
  <si>
    <t>Boardwalk Pipelines, LP</t>
  </si>
  <si>
    <t>Arion Blue, LLC</t>
  </si>
  <si>
    <t>Alfa Laval</t>
  </si>
  <si>
    <t>Vectra AI</t>
  </si>
  <si>
    <t>Neel-Schaffer, Inc.</t>
  </si>
  <si>
    <t>Primoris Services Corporation</t>
  </si>
  <si>
    <t>Bryant Consultants</t>
  </si>
  <si>
    <t>Baker Hughes</t>
  </si>
  <si>
    <t>ProAutomated</t>
  </si>
  <si>
    <t>Farmers Electric Cooperative</t>
  </si>
  <si>
    <t>Orion Marine Group</t>
  </si>
  <si>
    <t>Aramco Services Company</t>
  </si>
  <si>
    <t>Amentum</t>
  </si>
  <si>
    <t>MEGlobal Americas Inc.</t>
  </si>
  <si>
    <t>Eli Lilly and Company</t>
  </si>
  <si>
    <t>Siemens</t>
  </si>
  <si>
    <t>Subsea 7</t>
  </si>
  <si>
    <t>Haynes and Boone, LLP</t>
  </si>
  <si>
    <t>Miller Gray LLC</t>
  </si>
  <si>
    <t>Applied Research Associates, Inc.</t>
  </si>
  <si>
    <t>Fenagh Engineering and Testing</t>
  </si>
  <si>
    <t>CNS/Y-12 National Security Complex</t>
  </si>
  <si>
    <t>ELM Microgrid</t>
  </si>
  <si>
    <t>Chemours Company</t>
  </si>
  <si>
    <t>Bitkernel Technology Inc</t>
  </si>
  <si>
    <t>National Security Agency</t>
  </si>
  <si>
    <t>Talos Energy</t>
  </si>
  <si>
    <t>Del Sol Food Company, Inc.</t>
  </si>
  <si>
    <t>Jelec USA Inc</t>
  </si>
  <si>
    <t>Talon Industries, Inc.</t>
  </si>
  <si>
    <t>Coffman Engineers, Inc.</t>
  </si>
  <si>
    <t>Tenstorrent.com</t>
  </si>
  <si>
    <t>Ingersoll-Rand</t>
  </si>
  <si>
    <t>Cornerstone Building Brands</t>
  </si>
  <si>
    <t>Wood County Electric Cooperative</t>
  </si>
  <si>
    <t>NextEra Energy, Inc.</t>
  </si>
  <si>
    <t>BASF Corporation</t>
  </si>
  <si>
    <t>1Finity, a Fujitsu Company</t>
  </si>
  <si>
    <t>Savannah River Nuclear Solutions</t>
  </si>
  <si>
    <t>USAA</t>
  </si>
  <si>
    <t>Buckeye Partners</t>
  </si>
  <si>
    <t>Ragle Inc</t>
  </si>
  <si>
    <t>Flowserve Corporation</t>
  </si>
  <si>
    <t>HENDERSON ENGINEERS</t>
  </si>
  <si>
    <t>Exmar Offshore Company</t>
  </si>
  <si>
    <t>International Motors LLC</t>
  </si>
  <si>
    <t>Tokyo Electron (TEL)</t>
  </si>
  <si>
    <t>Supreme Integrated Technology</t>
  </si>
  <si>
    <t>Epiroc</t>
  </si>
  <si>
    <t>Sinacola</t>
  </si>
  <si>
    <t>Allegro MicroSystems</t>
  </si>
  <si>
    <t>HFA (Harrison French and Associates)</t>
  </si>
  <si>
    <t>Keurig Dr Pepper</t>
  </si>
  <si>
    <t>Koch Industries Inc.</t>
  </si>
  <si>
    <t>Johns Hopkins Whiting School of Engineering</t>
  </si>
  <si>
    <t>Terrestrial Energy Inc.</t>
  </si>
  <si>
    <t>American Cast Iron Pipe Company</t>
  </si>
  <si>
    <t>WHC Energy Services</t>
  </si>
  <si>
    <t>Contech</t>
  </si>
  <si>
    <t>Framatome</t>
  </si>
  <si>
    <t>Kaspar Companies</t>
  </si>
  <si>
    <t>Amrize</t>
  </si>
  <si>
    <t>Gerdau</t>
  </si>
  <si>
    <t>Epsilon</t>
  </si>
  <si>
    <t>Bimbo Bakeries USA</t>
  </si>
  <si>
    <t>Martin Marietta Materials</t>
  </si>
  <si>
    <t>RoviSys</t>
  </si>
  <si>
    <t>RAMBUS INC.</t>
  </si>
  <si>
    <t>Gibson Applied Technology &amp; Engineering</t>
  </si>
  <si>
    <t>Five Star Management</t>
  </si>
  <si>
    <t>Trendsetter Engineering, Inc.</t>
  </si>
  <si>
    <t>ATS Drilling, LP</t>
  </si>
  <si>
    <t>Carollo Engineers</t>
  </si>
  <si>
    <t>Stress Engineering Services</t>
  </si>
  <si>
    <t>TotalEnergies</t>
  </si>
  <si>
    <t>Rehrig Pacific Company</t>
  </si>
  <si>
    <t>Majors</t>
  </si>
  <si>
    <t>How full is this major? (%)</t>
  </si>
  <si>
    <t>Need more of this major? (&lt;20%)</t>
  </si>
  <si>
    <t>Need less of this major? (&gt;80%)</t>
  </si>
  <si>
    <t>Registrations %</t>
  </si>
  <si>
    <t>Allocated Booths</t>
  </si>
  <si>
    <t>Acceptance Rate</t>
  </si>
  <si>
    <t>Allocated Total Booths</t>
  </si>
  <si>
    <t>Total Booths Confirmed</t>
  </si>
  <si>
    <t>Bump to Thursdays</t>
  </si>
  <si>
    <t>AERO</t>
  </si>
  <si>
    <t>AREN</t>
  </si>
  <si>
    <t>BAEN</t>
  </si>
  <si>
    <t>BMEN</t>
  </si>
  <si>
    <t>CHEN</t>
  </si>
  <si>
    <t>CECN/CEEN</t>
  </si>
  <si>
    <t>CPSC</t>
  </si>
  <si>
    <t>CVEN</t>
  </si>
  <si>
    <t>ELEN</t>
  </si>
  <si>
    <t>ESET</t>
  </si>
  <si>
    <t>EVEN</t>
  </si>
  <si>
    <t>IDIS</t>
  </si>
  <si>
    <t>ISEN</t>
  </si>
  <si>
    <t>MEEN</t>
  </si>
  <si>
    <t>MMET</t>
  </si>
  <si>
    <t>MSEN</t>
  </si>
  <si>
    <t>MXET</t>
  </si>
  <si>
    <t>NUEN</t>
  </si>
  <si>
    <t>OCEN</t>
  </si>
  <si>
    <t>PETE</t>
  </si>
  <si>
    <t>DATA</t>
  </si>
  <si>
    <t>Company Name</t>
  </si>
  <si>
    <t>Points Values</t>
  </si>
  <si>
    <t>Status</t>
  </si>
  <si>
    <t>Package</t>
  </si>
  <si>
    <t>Status/Outcome</t>
  </si>
  <si>
    <t>Notes</t>
  </si>
  <si>
    <t>Legend</t>
  </si>
  <si>
    <t>switch to wednesday?</t>
  </si>
  <si>
    <t>Yes</t>
  </si>
  <si>
    <t>Lubrizol</t>
  </si>
  <si>
    <t>Unable to attend Thursday</t>
  </si>
  <si>
    <t>Enercon</t>
  </si>
  <si>
    <t>said no to BTT, been BTT'ed for 2 fairs</t>
  </si>
  <si>
    <t>Samson</t>
  </si>
  <si>
    <t>AERO 54</t>
  </si>
  <si>
    <t>Score</t>
  </si>
  <si>
    <t>C</t>
  </si>
  <si>
    <t>r</t>
  </si>
  <si>
    <t>AREN 42</t>
  </si>
  <si>
    <t>BAEN 18</t>
  </si>
  <si>
    <t>BMEN 40</t>
  </si>
  <si>
    <t xml:space="preserve"> </t>
  </si>
  <si>
    <t>WS not calculated in invoice</t>
  </si>
  <si>
    <t>BTT - emailed</t>
  </si>
  <si>
    <t>emailed about discounted thursday</t>
  </si>
  <si>
    <t>C - BTT</t>
  </si>
  <si>
    <t>CPSC 100</t>
  </si>
  <si>
    <t>BTT</t>
  </si>
  <si>
    <t>CVEN 64</t>
  </si>
  <si>
    <t>R</t>
  </si>
  <si>
    <t>confirmed their other registration</t>
  </si>
  <si>
    <t>accepted for WS</t>
  </si>
  <si>
    <t>C - 2 DAY TO ONE DAY</t>
  </si>
  <si>
    <t>CECN/CEEN 38</t>
  </si>
  <si>
    <t>c</t>
  </si>
  <si>
    <t>emailed</t>
  </si>
  <si>
    <t xml:space="preserve">ELEN </t>
  </si>
  <si>
    <t>said no</t>
  </si>
  <si>
    <t>Follow up</t>
  </si>
  <si>
    <t>BTT - C</t>
  </si>
  <si>
    <t>IDIS 55</t>
  </si>
  <si>
    <t>ISEN 78</t>
  </si>
  <si>
    <t>MEEN 114</t>
  </si>
  <si>
    <t>IF they respond, they can do two day</t>
  </si>
  <si>
    <t>already registered</t>
  </si>
  <si>
    <t>Rejected btt</t>
  </si>
  <si>
    <t>BTT, two day to one day</t>
  </si>
  <si>
    <t>emailed about discounted thursday 8/25/12</t>
  </si>
  <si>
    <t>emailed, cannot do discount</t>
  </si>
  <si>
    <t>2day discount still pending</t>
  </si>
  <si>
    <t>accepted discount</t>
  </si>
  <si>
    <t>MSEN 24</t>
  </si>
  <si>
    <t>emailed for discounted thursday</t>
  </si>
  <si>
    <t>MMET 26</t>
  </si>
  <si>
    <t>MXET 26</t>
  </si>
  <si>
    <t>NUEN 24</t>
  </si>
  <si>
    <t>OCEN 14</t>
  </si>
  <si>
    <t>Sorted</t>
  </si>
  <si>
    <t>emailed 8/12/25</t>
  </si>
  <si>
    <t>COMPANIES THAT WEREN'T SORTED</t>
  </si>
  <si>
    <t>Net Worth</t>
  </si>
  <si>
    <t>R - MJC</t>
  </si>
  <si>
    <t>Ferrovial Construction</t>
  </si>
  <si>
    <t>Geosyntec Consultants</t>
  </si>
  <si>
    <t>Perficient</t>
  </si>
  <si>
    <t>R - SSN</t>
  </si>
  <si>
    <t>Baker Concrete Construction</t>
  </si>
  <si>
    <t>Foresite Group, LLC</t>
  </si>
  <si>
    <t>Modjeski and Masters</t>
  </si>
  <si>
    <t>ClayMoore Engineering</t>
  </si>
  <si>
    <t>Entergy Enterprises, Inc.</t>
  </si>
  <si>
    <t>Huntsman Corporation</t>
  </si>
  <si>
    <t>Arbin Instruments</t>
  </si>
  <si>
    <t>Steel Dynamics Inc</t>
  </si>
  <si>
    <t>Discover Financial Services</t>
  </si>
  <si>
    <t>Liberty Energy</t>
  </si>
  <si>
    <t>FUTO</t>
  </si>
  <si>
    <t>Keller North America, Inc.</t>
  </si>
  <si>
    <t>Weatherford</t>
  </si>
  <si>
    <t>CDC Curtain Wall Design and Consulting, Inc.</t>
  </si>
  <si>
    <t>CoreLogic</t>
  </si>
  <si>
    <t>National Instruments (NI)</t>
  </si>
  <si>
    <t>BoMac Contractors LTD.</t>
  </si>
  <si>
    <t>Ball Corporation</t>
  </si>
  <si>
    <t>wait</t>
  </si>
  <si>
    <t>Evonik Corporation</t>
  </si>
  <si>
    <t>Renewable Energy Systems Americas, Inc.</t>
  </si>
  <si>
    <t>BD Energy Systems</t>
  </si>
  <si>
    <t>Hilti North America</t>
  </si>
  <si>
    <t>Sambatek, LLC</t>
  </si>
  <si>
    <t>Leprino Foods</t>
  </si>
  <si>
    <t>Hunt &amp; Joiner, Inc.</t>
  </si>
  <si>
    <t>Weaver</t>
  </si>
  <si>
    <t>David Evans and Associates</t>
  </si>
  <si>
    <t>Dialexa</t>
  </si>
  <si>
    <t>Ventura Foods</t>
  </si>
  <si>
    <t>Crestwood Midstream Partners LP</t>
  </si>
  <si>
    <t>KSA</t>
  </si>
  <si>
    <t>Klein Tools</t>
  </si>
  <si>
    <t>Kubota Tractor Corporation</t>
  </si>
  <si>
    <t>RGM DCCM</t>
  </si>
  <si>
    <t>Cross Engineering Consultants, Inc.</t>
  </si>
  <si>
    <t>X-energy</t>
  </si>
  <si>
    <t>The Boldt Company</t>
  </si>
  <si>
    <t>Kongsberg Digital</t>
  </si>
  <si>
    <t>Railroad Infrastructure &amp; Terminal Development, LLC</t>
  </si>
  <si>
    <t>U.S. Army Corps of Engineers</t>
  </si>
  <si>
    <t>CDM Smith</t>
  </si>
  <si>
    <t>Shimmick Construction</t>
  </si>
  <si>
    <t>PND Engineers, Inc.</t>
  </si>
  <si>
    <t>IEA Inc.</t>
  </si>
  <si>
    <t>Tektronix</t>
  </si>
  <si>
    <t>K Friese &amp; Associates, Inc.</t>
  </si>
  <si>
    <t>IMEG Corp.</t>
  </si>
  <si>
    <t>PEA Group</t>
  </si>
  <si>
    <t>Elevation Land Solutions</t>
  </si>
  <si>
    <t>Texas A&amp;M Master of Geoscience- Online</t>
  </si>
  <si>
    <t>SPEA AMERICA</t>
  </si>
  <si>
    <t>The Estes Group</t>
  </si>
  <si>
    <t>Falkenberg Construction</t>
  </si>
  <si>
    <t>ANS Geo</t>
  </si>
  <si>
    <t>L Squared Engineering</t>
  </si>
  <si>
    <t>UL Research Institutes</t>
  </si>
  <si>
    <t>JRMA</t>
  </si>
  <si>
    <t>RPS Group</t>
  </si>
  <si>
    <t>CPH Structural Engineering, Inc.</t>
  </si>
  <si>
    <t>Keeley Construction</t>
  </si>
  <si>
    <t>Shield Engineering Group, PLLC</t>
  </si>
  <si>
    <t>Lighthouse Consulting Group</t>
  </si>
  <si>
    <t>Denbury Inc</t>
  </si>
  <si>
    <t>Summit Design &amp; Build</t>
  </si>
  <si>
    <t>Weeks Marine Inc</t>
  </si>
  <si>
    <t>DEC Corp.</t>
  </si>
  <si>
    <t>U.S. Nuclear Regulatory Commission (NRC)</t>
  </si>
  <si>
    <t>HKA Global</t>
  </si>
  <si>
    <t>SCA Consulting Engineers</t>
  </si>
  <si>
    <t>Delta Airport Consultants Inc.</t>
  </si>
  <si>
    <t>IDCUS Inc.</t>
  </si>
  <si>
    <t>Bureau of Safety and Environmental Enforcement</t>
  </si>
  <si>
    <t>Stanley Consultants</t>
  </si>
  <si>
    <t>DBR</t>
  </si>
  <si>
    <t>Electrical Consultants, Inc.</t>
  </si>
  <si>
    <t>DUDLEY</t>
  </si>
  <si>
    <t>Bryant Consultants, Inc.</t>
  </si>
  <si>
    <t>DBI Construction Consultants</t>
  </si>
  <si>
    <t>TEiC Construction Services Inc.</t>
  </si>
  <si>
    <t>Peloton Land Solutions</t>
  </si>
  <si>
    <t>Cimarron, Inc.</t>
  </si>
  <si>
    <t>Schnabel Geostructural Design &amp; Construction</t>
  </si>
  <si>
    <t>Datum Engineers</t>
  </si>
  <si>
    <t>POWER Engineers, Inc.</t>
  </si>
  <si>
    <t>Rone Engineering Services, Ltd.</t>
  </si>
  <si>
    <t>WGI</t>
  </si>
  <si>
    <t>Entech Civil Engineers</t>
  </si>
  <si>
    <t>RLG Consulting Engineers</t>
  </si>
  <si>
    <t>Austin Industrial</t>
  </si>
  <si>
    <t>Moore Control Systems, Inc.</t>
  </si>
  <si>
    <t>Harris County Engineering</t>
  </si>
  <si>
    <t>Gracon LLC</t>
  </si>
  <si>
    <t>Gessner Engineering</t>
  </si>
  <si>
    <t>Central Builders, Inc</t>
  </si>
  <si>
    <t>Spire Consulting Group</t>
  </si>
  <si>
    <t>Smith Seckman Reid</t>
  </si>
  <si>
    <t>Aguirre &amp; Fields LP</t>
  </si>
  <si>
    <t>ZAP Engineering &amp; Construction Services, Inc.</t>
  </si>
  <si>
    <t>City of College Station</t>
  </si>
  <si>
    <t>Lower Neches Valley Authority</t>
  </si>
  <si>
    <t>Volkert, Inc.</t>
  </si>
  <si>
    <t>TranSystems</t>
  </si>
  <si>
    <t>The OutFit, Inc.</t>
  </si>
  <si>
    <t>Capitalize Analytics</t>
  </si>
  <si>
    <t>Dixon Directional, LLC</t>
  </si>
  <si>
    <t>Schneider Engineering, Ltd.</t>
  </si>
  <si>
    <t>TKE Engineering &amp; Design, Inc.</t>
  </si>
  <si>
    <t>EST. Inc.</t>
  </si>
  <si>
    <t>Innovative IDM</t>
  </si>
  <si>
    <t>Centric Infrastructure Group</t>
  </si>
  <si>
    <t>Brockette Davis Drake Inc</t>
  </si>
  <si>
    <t>EEA Consulting Engineers</t>
  </si>
  <si>
    <t>Holistiplan, LLC</t>
  </si>
  <si>
    <t>SteelFab of Texas</t>
  </si>
  <si>
    <t>Odyssey Engineering Group, LLC</t>
  </si>
  <si>
    <t>Waid Environmental</t>
  </si>
  <si>
    <t>Rodriguez Transportation Group</t>
  </si>
  <si>
    <t>GarzaEMC, LLC</t>
  </si>
  <si>
    <t>Holt Renewables</t>
  </si>
  <si>
    <t>Chamberlin Roofing &amp; Waterproofing</t>
  </si>
  <si>
    <t>Syska Hennessy Group, Inc.</t>
  </si>
  <si>
    <t>TETRA Technologies - Offshore Services</t>
  </si>
  <si>
    <t>KSI Engineering</t>
  </si>
  <si>
    <t>Trimasys Control Solutions Inc.</t>
  </si>
  <si>
    <t xml:space="preserve"> Hanwha Q Cells EPC USA LLC</t>
  </si>
  <si>
    <t>Burrer Engineering, Inc.</t>
  </si>
  <si>
    <t>APS - Palo Verde</t>
  </si>
  <si>
    <t>AG&amp;E</t>
  </si>
  <si>
    <t>ALL4 LLC</t>
  </si>
  <si>
    <t>alliant</t>
  </si>
  <si>
    <t>Ardurra Group</t>
  </si>
  <si>
    <t>Atlas Energy</t>
  </si>
  <si>
    <t>Atlas Technical Consultants</t>
  </si>
  <si>
    <t>AWC, Inc.</t>
  </si>
  <si>
    <t>Awesome Test Employer</t>
  </si>
  <si>
    <t>BinkleyBarfield | DCCM</t>
  </si>
  <si>
    <t>BLEYL ENGINEERING</t>
  </si>
  <si>
    <t>Brasfield &amp; Gorrie, LLC</t>
  </si>
  <si>
    <t>Brown and Caldwell</t>
  </si>
  <si>
    <t>Campos EPC</t>
  </si>
  <si>
    <t>Caterpillar Inc (Silver Partner)</t>
  </si>
  <si>
    <t>City of New Braunfels</t>
  </si>
  <si>
    <t>CMC Steel Texas</t>
  </si>
  <si>
    <t>Datum / Datum Rios</t>
  </si>
  <si>
    <t>Defense Intelligence Agency (DIA)</t>
  </si>
  <si>
    <t>EDG Inc.</t>
  </si>
  <si>
    <t>Electronic Power Design (EPD)</t>
  </si>
  <si>
    <t>Engineering Dynamics Inc.</t>
  </si>
  <si>
    <t>ENTACT LLC</t>
  </si>
  <si>
    <t>Ferrovial Services</t>
  </si>
  <si>
    <t>Freudenberg</t>
  </si>
  <si>
    <t>Frozen Beverage Dispensers</t>
  </si>
  <si>
    <t>Garver</t>
  </si>
  <si>
    <t>GATE Energy</t>
  </si>
  <si>
    <t>GMCivil</t>
  </si>
  <si>
    <t>Harris County Toll Road Authority</t>
  </si>
  <si>
    <t>Hart Gaugler + Associates</t>
  </si>
  <si>
    <t>Henderson Rogers Structural Engineers, LLC</t>
  </si>
  <si>
    <t>HNTB Corporation</t>
  </si>
  <si>
    <t>Hoffman Construction Company</t>
  </si>
  <si>
    <t>iD Tech Camps</t>
  </si>
  <si>
    <t>Innovative Refrigeration Systems, Inc.</t>
  </si>
  <si>
    <t>Jacobs</t>
  </si>
  <si>
    <t>Johnson, Mirmiran &amp; Thompson</t>
  </si>
  <si>
    <t>JT Thorpe</t>
  </si>
  <si>
    <t>KCI Technologies, Inc.</t>
  </si>
  <si>
    <t>Keller North America, Inc</t>
  </si>
  <si>
    <t>Kimley-Horn</t>
  </si>
  <si>
    <t>Lockwood, Andrews &amp; Newnam</t>
  </si>
  <si>
    <t>Lone Star Blower and Compressor</t>
  </si>
  <si>
    <t>Matkin Hoover Engineering &amp; Surveying</t>
  </si>
  <si>
    <t>Murfee Engineering Company</t>
  </si>
  <si>
    <t>National Nuclear Security Administration</t>
  </si>
  <si>
    <t>National Security Agency (NSA)</t>
  </si>
  <si>
    <t>Naval Surface Warfare Center Carderock</t>
  </si>
  <si>
    <t>NOV</t>
  </si>
  <si>
    <t>Oceaneering International, Inc.</t>
  </si>
  <si>
    <t>Odin Environmental Solutions, LLC</t>
  </si>
  <si>
    <t>Pape-Dawson Engineers</t>
  </si>
  <si>
    <t>Patterson-UTI Energy (formerly NexTier OFS)</t>
  </si>
  <si>
    <t>Peloton Computer Enterprises, Inc.</t>
  </si>
  <si>
    <t>PET Systems, LLC</t>
  </si>
  <si>
    <t>POWER Engineers</t>
  </si>
  <si>
    <t>QTS Data Centeres</t>
  </si>
  <si>
    <t>RG Miller Engineers, Inc</t>
  </si>
  <si>
    <t>ROSEN USA</t>
  </si>
  <si>
    <t>Ryan Companies US, Inc.</t>
  </si>
  <si>
    <t>SEnergy</t>
  </si>
  <si>
    <t>Stewart &amp; Stevenson</t>
  </si>
  <si>
    <t>Tarrant Regional Water District</t>
  </si>
  <si>
    <t>Tarsco Construction Corp</t>
  </si>
  <si>
    <t>Tetra Tech</t>
  </si>
  <si>
    <t>Texas A&amp;M School of Public Health</t>
  </si>
  <si>
    <t>Texas AirSystems - HVAC</t>
  </si>
  <si>
    <t>Tinker AFB Science &amp; Engineering</t>
  </si>
  <si>
    <t>Toshiba International Corporation</t>
  </si>
  <si>
    <t>Tremco CPG Manufacturing Corp</t>
  </si>
  <si>
    <t>UPS</t>
  </si>
  <si>
    <t>US Army Corps of Engineers - New Orleans</t>
  </si>
  <si>
    <t>Velera</t>
  </si>
  <si>
    <t>Vogler &amp; Spencer Engineering, Inc.</t>
  </si>
  <si>
    <t>Ward &amp; Burke Tunneling Inc.</t>
  </si>
  <si>
    <t>Webber</t>
  </si>
  <si>
    <t>Westwood Professional Services, Inc.</t>
  </si>
  <si>
    <t>Whitman, Requardt and Associates, LLP</t>
  </si>
  <si>
    <t>Allana Buick &amp; Bers</t>
  </si>
  <si>
    <t>America`s Navy</t>
  </si>
  <si>
    <t>Barron-Stark Engineers LP</t>
  </si>
  <si>
    <t>Bowman Engineering/Consulting Inc.</t>
  </si>
  <si>
    <t>Brazos Electric Power Cooperative, Inc.</t>
  </si>
  <si>
    <t>Cadence</t>
  </si>
  <si>
    <t>Citigroup</t>
  </si>
  <si>
    <t>Elevation land solutions</t>
  </si>
  <si>
    <t>GBA</t>
  </si>
  <si>
    <t>Hargrove Engineers + Constructors</t>
  </si>
  <si>
    <t>Harris Energy Solutions</t>
  </si>
  <si>
    <t>Hexagon's Asset Lifecycle Intelligence division</t>
  </si>
  <si>
    <t>LPA, Inc.</t>
  </si>
  <si>
    <t>Naval Air Systems Command (NAVAIR)</t>
  </si>
  <si>
    <t>Pike Corporation: Pike Engineering, Pike Electric, Pike Telecom, and Pike Gas</t>
  </si>
  <si>
    <t>Prime Controls</t>
  </si>
  <si>
    <t>Rokstone Construction Risk Underwriters</t>
  </si>
  <si>
    <t>Stantec</t>
  </si>
  <si>
    <t>US Army Corps of Engineers - Omaha District</t>
  </si>
  <si>
    <t>ZAP Engineering</t>
  </si>
  <si>
    <t>Dresser Utility Solutions</t>
  </si>
  <si>
    <t>The Whiting-Turner Contracting Company</t>
  </si>
  <si>
    <t>NASA Johnson Space Center</t>
  </si>
  <si>
    <t>United States Postal Service</t>
  </si>
  <si>
    <t>Orsted</t>
  </si>
  <si>
    <t>Naval Facilities Engineering and Expeditionary Warfare Center</t>
  </si>
  <si>
    <t>FieldCore</t>
  </si>
  <si>
    <t>Blue Engineering and Consulting</t>
  </si>
  <si>
    <t>TRC Companies Inc.</t>
  </si>
  <si>
    <t>Entegris</t>
  </si>
  <si>
    <t>Illinois Department of Transportation</t>
  </si>
  <si>
    <t>ESE Partners</t>
  </si>
  <si>
    <t>Kent PLC</t>
  </si>
  <si>
    <t>Texas Comptroller of Public Accounts</t>
  </si>
  <si>
    <t>H2B, Inc.</t>
  </si>
  <si>
    <t>Schnabel Engineering, Inc.</t>
  </si>
  <si>
    <t>Schweitzer Engineering Laboratories, Inc.</t>
  </si>
  <si>
    <t>KB HOME</t>
  </si>
  <si>
    <t>Roux</t>
  </si>
  <si>
    <t>Siemens Energy</t>
  </si>
  <si>
    <t>USAA (San Antonio, TX) (Gold Partner)</t>
  </si>
  <si>
    <t>BRYANT CONSULTANTS OPERATING LLC</t>
  </si>
  <si>
    <t>Scientific Data Systems</t>
  </si>
  <si>
    <t>HFA</t>
  </si>
  <si>
    <t>Coreslab Structures</t>
  </si>
  <si>
    <t>Organization Name</t>
  </si>
  <si>
    <t>Private or Not Found</t>
  </si>
  <si>
    <t>Apple Inc.</t>
  </si>
  <si>
    <t>385.60 Billion</t>
  </si>
  <si>
    <t>Tesla, Inc.</t>
  </si>
  <si>
    <t>97.20 Billion</t>
  </si>
  <si>
    <t>Amazon.com, Inc.</t>
  </si>
  <si>
    <t>620.10 Billion</t>
  </si>
  <si>
    <t>Google</t>
  </si>
  <si>
    <t>256.70 Billion</t>
  </si>
  <si>
    <t>Microsoft Corporation</t>
  </si>
  <si>
    <t>254.00 Billion</t>
  </si>
  <si>
    <t>Facebook</t>
  </si>
  <si>
    <t>58.00 Billion</t>
  </si>
  <si>
    <t>SpaceX</t>
  </si>
  <si>
    <t>Stripe</t>
  </si>
  <si>
    <t>Airbnb, Inc.</t>
  </si>
  <si>
    <t>3.70 Billion</t>
  </si>
  <si>
    <t>Uber Technologies, Inc.</t>
  </si>
  <si>
    <t>42.00 Billion</t>
  </si>
  <si>
    <t>Palantir Technologies</t>
  </si>
  <si>
    <t>2.30 Billion</t>
  </si>
  <si>
    <t>Epic Games</t>
  </si>
  <si>
    <t>Zoom Video Communications, Inc.</t>
  </si>
  <si>
    <t>Salesforce, Inc.</t>
  </si>
  <si>
    <t>36.50 Billion</t>
  </si>
  <si>
    <t>Snap Inc.</t>
  </si>
  <si>
    <t>5.20 Billion</t>
  </si>
  <si>
    <t>ByteDance</t>
  </si>
  <si>
    <t>Samsung Electronics</t>
  </si>
  <si>
    <t>Netflix, Inc.</t>
  </si>
  <si>
    <t>37.60 Billion</t>
  </si>
  <si>
    <t>DoorDash, Inc.</t>
  </si>
  <si>
    <t>10.20 Billion</t>
  </si>
  <si>
    <t>Rivian Automotive, Inc.</t>
  </si>
  <si>
    <t>4.50 Billion</t>
  </si>
  <si>
    <t>Registrations/Requested</t>
  </si>
  <si>
    <t>Confirmed Booths</t>
  </si>
  <si>
    <t>Percentage of total</t>
  </si>
  <si>
    <t>Total booths Available</t>
  </si>
  <si>
    <t>CECN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</si>
</sst>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#,##0.0"/>
    <numFmt numFmtId="166" formatCode="m/d/yyyy"/>
    <numFmt numFmtId="167" formatCode="&quot;$&quot;#,##0.00"/>
    <numFmt numFmtId="168" formatCode="&quot;$&quot;#,##0"/>
  </numFmts>
  <fonts count="26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&quot;Google Sans Mono&quot;"/>
    </font>
    <font>
      <sz val="11.0"/>
      <color theme="1"/>
      <name val="Calibri"/>
    </font>
    <font>
      <color theme="1"/>
      <name val="Arial"/>
    </font>
    <font>
      <sz val="9.0"/>
      <color theme="1"/>
      <name val="&quot;Google Sans&quot;"/>
    </font>
    <font>
      <strike/>
      <color theme="1"/>
      <name val="Arial"/>
      <scheme val="minor"/>
    </font>
    <font>
      <u/>
      <color rgb="FF0000FF"/>
    </font>
    <font>
      <b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trike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strike/>
      <color rgb="FF000000"/>
      <name val="Arial"/>
    </font>
    <font>
      <strike/>
      <color theme="1"/>
      <name val="Arial"/>
    </font>
    <font>
      <sz val="10.0"/>
      <color rgb="FF000000"/>
      <name val="Arial"/>
    </font>
    <font>
      <i/>
      <color theme="1"/>
      <name val="Arial"/>
      <scheme val="minor"/>
    </font>
    <font>
      <b/>
      <strike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sz val="11.0"/>
      <color rgb="FF1F1F1F"/>
      <name val="&quot;Google Sans&quot;"/>
    </font>
  </fonts>
  <fills count="2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6B76B"/>
        <bgColor rgb="FFF6B76B"/>
      </patternFill>
    </fill>
    <fill>
      <patternFill patternType="solid">
        <fgColor rgb="FF57BB8A"/>
        <bgColor rgb="FF57BB8A"/>
      </patternFill>
    </fill>
    <fill>
      <patternFill patternType="solid">
        <fgColor rgb="FFE78272"/>
        <bgColor rgb="FFE78272"/>
      </patternFill>
    </fill>
    <fill>
      <patternFill patternType="solid">
        <fgColor rgb="FFF6B86B"/>
        <bgColor rgb="FFF6B86B"/>
      </patternFill>
    </fill>
    <fill>
      <patternFill patternType="solid">
        <fgColor rgb="FFEF9F6E"/>
        <bgColor rgb="FFEF9F6E"/>
      </patternFill>
    </fill>
    <fill>
      <patternFill patternType="solid">
        <fgColor rgb="FFED9570"/>
        <bgColor rgb="FFED9570"/>
      </patternFill>
    </fill>
    <fill>
      <patternFill patternType="solid">
        <fgColor rgb="FFF9C169"/>
        <bgColor rgb="FFF9C169"/>
      </patternFill>
    </fill>
    <fill>
      <patternFill patternType="solid">
        <fgColor rgb="FFF2D468"/>
        <bgColor rgb="FFF2D468"/>
      </patternFill>
    </fill>
    <fill>
      <patternFill patternType="solid">
        <fgColor rgb="FFE8D36B"/>
        <bgColor rgb="FFE8D36B"/>
      </patternFill>
    </fill>
    <fill>
      <patternFill patternType="solid">
        <fgColor rgb="FFFFD666"/>
        <bgColor rgb="FFFFD666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4" xfId="0" applyAlignment="1" applyFont="1" applyNumberFormat="1">
      <alignment horizontal="left"/>
    </xf>
    <xf borderId="0" fillId="3" fontId="5" numFmtId="0" xfId="0" applyAlignment="1" applyFill="1" applyFont="1">
      <alignment readingOrder="0"/>
    </xf>
    <xf borderId="0" fillId="0" fontId="5" numFmtId="4" xfId="0" applyFont="1" applyNumberFormat="1"/>
    <xf borderId="0" fillId="0" fontId="7" numFmtId="0" xfId="0" applyAlignment="1" applyFont="1">
      <alignment readingOrder="0" vertical="top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top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top"/>
    </xf>
    <xf borderId="0" fillId="0" fontId="8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5" numFmtId="3" xfId="0" applyFont="1" applyNumberFormat="1"/>
    <xf borderId="0" fillId="0" fontId="5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2" fontId="1" numFmtId="0" xfId="0" applyAlignment="1" applyFont="1">
      <alignment horizontal="center" shrinkToFit="0" vertical="bottom" wrapText="1"/>
    </xf>
    <xf borderId="1" fillId="5" fontId="12" numFmtId="0" xfId="0" applyAlignment="1" applyBorder="1" applyFill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8" numFmtId="4" xfId="0" applyAlignment="1" applyBorder="1" applyFont="1" applyNumberFormat="1">
      <alignment horizontal="center" vertical="bottom"/>
    </xf>
    <xf borderId="1" fillId="6" fontId="8" numFmtId="10" xfId="0" applyAlignment="1" applyBorder="1" applyFill="1" applyFont="1" applyNumberFormat="1">
      <alignment horizontal="right" vertical="bottom"/>
    </xf>
    <xf borderId="0" fillId="0" fontId="8" numFmtId="10" xfId="0" applyAlignment="1" applyFont="1" applyNumberFormat="1">
      <alignment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6" fontId="12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vertical="bottom"/>
    </xf>
    <xf borderId="1" fillId="6" fontId="12" numFmtId="0" xfId="0" applyAlignment="1" applyBorder="1" applyFont="1">
      <alignment horizontal="center" readingOrder="0" vertical="bottom"/>
    </xf>
    <xf borderId="1" fillId="7" fontId="8" numFmtId="10" xfId="0" applyAlignment="1" applyBorder="1" applyFill="1" applyFont="1" applyNumberFormat="1">
      <alignment horizontal="right" vertical="bottom"/>
    </xf>
    <xf borderId="1" fillId="8" fontId="8" numFmtId="10" xfId="0" applyAlignment="1" applyBorder="1" applyFill="1" applyFont="1" applyNumberFormat="1">
      <alignment horizontal="right" vertical="bottom"/>
    </xf>
    <xf borderId="1" fillId="9" fontId="8" numFmtId="10" xfId="0" applyAlignment="1" applyBorder="1" applyFill="1" applyFont="1" applyNumberFormat="1">
      <alignment horizontal="right" vertical="bottom"/>
    </xf>
    <xf borderId="1" fillId="10" fontId="8" numFmtId="10" xfId="0" applyAlignment="1" applyBorder="1" applyFill="1" applyFont="1" applyNumberFormat="1">
      <alignment horizontal="right" vertical="bottom"/>
    </xf>
    <xf borderId="1" fillId="11" fontId="8" numFmtId="10" xfId="0" applyAlignment="1" applyBorder="1" applyFill="1" applyFont="1" applyNumberFormat="1">
      <alignment horizontal="right" vertical="bottom"/>
    </xf>
    <xf borderId="1" fillId="12" fontId="8" numFmtId="10" xfId="0" applyAlignment="1" applyBorder="1" applyFill="1" applyFont="1" applyNumberFormat="1">
      <alignment horizontal="right" vertical="bottom"/>
    </xf>
    <xf borderId="1" fillId="5" fontId="8" numFmtId="3" xfId="0" applyAlignment="1" applyBorder="1" applyFont="1" applyNumberFormat="1">
      <alignment horizontal="center" vertical="bottom"/>
    </xf>
    <xf borderId="1" fillId="6" fontId="8" numFmtId="3" xfId="0" applyAlignment="1" applyBorder="1" applyFont="1" applyNumberFormat="1">
      <alignment horizontal="center" vertical="bottom"/>
    </xf>
    <xf borderId="1" fillId="13" fontId="8" numFmtId="10" xfId="0" applyAlignment="1" applyBorder="1" applyFill="1" applyFont="1" applyNumberFormat="1">
      <alignment horizontal="right" vertical="bottom"/>
    </xf>
    <xf borderId="1" fillId="14" fontId="8" numFmtId="10" xfId="0" applyAlignment="1" applyBorder="1" applyFill="1" applyFont="1" applyNumberFormat="1">
      <alignment horizontal="right" vertical="bottom"/>
    </xf>
    <xf borderId="1" fillId="15" fontId="8" numFmtId="10" xfId="0" applyAlignment="1" applyBorder="1" applyFill="1" applyFont="1" applyNumberFormat="1">
      <alignment horizontal="right" vertical="bottom"/>
    </xf>
    <xf borderId="1" fillId="16" fontId="8" numFmtId="10" xfId="0" applyAlignment="1" applyBorder="1" applyFill="1" applyFont="1" applyNumberFormat="1">
      <alignment horizontal="right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0" fontId="10" numFmtId="4" xfId="0" applyAlignment="1" applyFont="1" applyNumberFormat="1">
      <alignment readingOrder="0"/>
    </xf>
    <xf borderId="0" fillId="0" fontId="5" numFmtId="0" xfId="0" applyFont="1"/>
    <xf borderId="0" fillId="0" fontId="4" numFmtId="0" xfId="0" applyFont="1"/>
    <xf borderId="0" fillId="17" fontId="5" numFmtId="0" xfId="0" applyAlignment="1" applyFill="1" applyFont="1">
      <alignment readingOrder="0"/>
    </xf>
    <xf borderId="0" fillId="17" fontId="5" numFmtId="0" xfId="0" applyFont="1"/>
    <xf borderId="0" fillId="17" fontId="5" numFmtId="0" xfId="0" applyAlignment="1" applyFont="1">
      <alignment readingOrder="0"/>
    </xf>
    <xf borderId="0" fillId="0" fontId="10" numFmtId="0" xfId="0" applyFont="1"/>
    <xf borderId="0" fillId="0" fontId="17" numFmtId="0" xfId="0" applyAlignment="1" applyFont="1">
      <alignment horizontal="left" readingOrder="0"/>
    </xf>
    <xf borderId="0" fillId="18" fontId="5" numFmtId="0" xfId="0" applyAlignment="1" applyFill="1" applyFont="1">
      <alignment readingOrder="0"/>
    </xf>
    <xf borderId="0" fillId="18" fontId="5" numFmtId="164" xfId="0" applyAlignment="1" applyFont="1" applyNumberFormat="1">
      <alignment readingOrder="0"/>
    </xf>
    <xf borderId="0" fillId="18" fontId="5" numFmtId="0" xfId="0" applyFont="1"/>
    <xf borderId="0" fillId="18" fontId="10" numFmtId="0" xfId="0" applyAlignment="1" applyFont="1">
      <alignment readingOrder="0"/>
    </xf>
    <xf borderId="0" fillId="18" fontId="10" numFmtId="164" xfId="0" applyAlignment="1" applyFont="1" applyNumberFormat="1">
      <alignment readingOrder="0"/>
    </xf>
    <xf borderId="0" fillId="18" fontId="10" numFmtId="0" xfId="0" applyFont="1"/>
    <xf borderId="0" fillId="0" fontId="18" numFmtId="0" xfId="0" applyAlignment="1" applyFont="1">
      <alignment horizontal="left" readingOrder="0"/>
    </xf>
    <xf borderId="0" fillId="18" fontId="5" numFmtId="0" xfId="0" applyAlignment="1" applyFont="1">
      <alignment readingOrder="0"/>
    </xf>
    <xf borderId="0" fillId="18" fontId="5" numFmtId="0" xfId="0" applyFont="1"/>
    <xf borderId="0" fillId="18" fontId="5" numFmtId="164" xfId="0" applyFont="1" applyNumberFormat="1"/>
    <xf borderId="0" fillId="0" fontId="5" numFmtId="0" xfId="0" applyAlignment="1" applyFont="1">
      <alignment readingOrder="0"/>
    </xf>
    <xf borderId="0" fillId="0" fontId="19" numFmtId="0" xfId="0" applyAlignment="1" applyFont="1">
      <alignment readingOrder="0" vertical="bottom"/>
    </xf>
    <xf borderId="0" fillId="19" fontId="5" numFmtId="0" xfId="0" applyAlignment="1" applyFill="1" applyFont="1">
      <alignment readingOrder="0"/>
    </xf>
    <xf borderId="0" fillId="19" fontId="5" numFmtId="0" xfId="0" applyAlignment="1" applyFont="1">
      <alignment readingOrder="0"/>
    </xf>
    <xf borderId="0" fillId="4" fontId="20" numFmtId="0" xfId="0" applyAlignment="1" applyFont="1">
      <alignment horizontal="left" readingOrder="0"/>
    </xf>
    <xf borderId="0" fillId="0" fontId="5" numFmtId="2" xfId="0" applyAlignment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21" numFmtId="0" xfId="0" applyAlignment="1" applyFont="1">
      <alignment readingOrder="0"/>
    </xf>
    <xf borderId="0" fillId="20" fontId="5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20" fontId="4" numFmtId="0" xfId="0" applyAlignment="1" applyFont="1">
      <alignment readingOrder="0"/>
    </xf>
    <xf borderId="0" fillId="21" fontId="5" numFmtId="0" xfId="0" applyAlignment="1" applyFill="1" applyFont="1">
      <alignment readingOrder="0"/>
    </xf>
    <xf borderId="0" fillId="21" fontId="5" numFmtId="164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19" numFmtId="0" xfId="0" applyAlignment="1" applyFont="1">
      <alignment vertical="bottom"/>
    </xf>
    <xf borderId="0" fillId="6" fontId="5" numFmtId="0" xfId="0" applyFont="1"/>
    <xf borderId="0" fillId="0" fontId="8" numFmtId="0" xfId="0" applyAlignment="1" applyFont="1">
      <alignment horizontal="left" readingOrder="0" vertical="bottom"/>
    </xf>
    <xf borderId="0" fillId="6" fontId="5" numFmtId="0" xfId="0" applyAlignment="1" applyFont="1">
      <alignment readingOrder="0"/>
    </xf>
    <xf borderId="0" fillId="6" fontId="5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19" fontId="10" numFmtId="0" xfId="0" applyFont="1"/>
    <xf borderId="0" fillId="19" fontId="5" numFmtId="0" xfId="0" applyFont="1"/>
    <xf borderId="0" fillId="0" fontId="22" numFmtId="0" xfId="0" applyAlignment="1" applyFont="1">
      <alignment readingOrder="0"/>
    </xf>
    <xf borderId="0" fillId="19" fontId="5" numFmtId="4" xfId="0" applyAlignment="1" applyFont="1" applyNumberFormat="1">
      <alignment readingOrder="0"/>
    </xf>
    <xf borderId="0" fillId="19" fontId="4" numFmtId="0" xfId="0" applyAlignment="1" applyFont="1">
      <alignment readingOrder="0"/>
    </xf>
    <xf borderId="0" fillId="20" fontId="5" numFmtId="0" xfId="0" applyAlignment="1" applyFont="1">
      <alignment readingOrder="0"/>
    </xf>
    <xf borderId="0" fillId="21" fontId="5" numFmtId="4" xfId="0" applyAlignment="1" applyFont="1" applyNumberFormat="1">
      <alignment readingOrder="0"/>
    </xf>
    <xf borderId="0" fillId="21" fontId="5" numFmtId="0" xfId="0" applyAlignment="1" applyFont="1">
      <alignment readingOrder="0"/>
    </xf>
    <xf borderId="0" fillId="22" fontId="5" numFmtId="0" xfId="0" applyAlignment="1" applyFill="1" applyFont="1">
      <alignment readingOrder="0"/>
    </xf>
    <xf borderId="0" fillId="22" fontId="5" numFmtId="4" xfId="0" applyAlignment="1" applyFont="1" applyNumberFormat="1">
      <alignment readingOrder="0"/>
    </xf>
    <xf borderId="0" fillId="21" fontId="10" numFmtId="0" xfId="0" applyAlignment="1" applyFont="1">
      <alignment readingOrder="0"/>
    </xf>
    <xf borderId="0" fillId="21" fontId="10" numFmtId="4" xfId="0" applyAlignment="1" applyFont="1" applyNumberFormat="1">
      <alignment readingOrder="0"/>
    </xf>
    <xf borderId="0" fillId="21" fontId="10" numFmtId="0" xfId="0" applyAlignment="1" applyFont="1">
      <alignment readingOrder="0"/>
    </xf>
    <xf borderId="0" fillId="22" fontId="5" numFmtId="0" xfId="0" applyAlignment="1" applyFont="1">
      <alignment readingOrder="0"/>
    </xf>
    <xf borderId="0" fillId="20" fontId="5" numFmtId="4" xfId="0" applyAlignment="1" applyFont="1" applyNumberFormat="1">
      <alignment readingOrder="0"/>
    </xf>
    <xf borderId="0" fillId="4" fontId="5" numFmtId="0" xfId="0" applyFont="1"/>
    <xf borderId="0" fillId="0" fontId="8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vertical="top"/>
    </xf>
    <xf borderId="0" fillId="0" fontId="7" numFmtId="0" xfId="0" applyAlignment="1" applyFont="1">
      <alignment vertical="top"/>
    </xf>
    <xf borderId="0" fillId="4" fontId="17" numFmtId="0" xfId="0" applyAlignment="1" applyFont="1">
      <alignment horizontal="left" readingOrder="0"/>
    </xf>
    <xf borderId="0" fillId="0" fontId="24" numFmtId="0" xfId="0" applyAlignment="1" applyFont="1">
      <alignment readingOrder="0" vertical="top"/>
    </xf>
    <xf borderId="0" fillId="4" fontId="4" numFmtId="0" xfId="0" applyFont="1"/>
    <xf borderId="0" fillId="9" fontId="5" numFmtId="0" xfId="0" applyAlignment="1" applyFont="1">
      <alignment readingOrder="0"/>
    </xf>
    <xf borderId="0" fillId="4" fontId="25" numFmtId="0" xfId="0" applyAlignment="1" applyFont="1">
      <alignment readingOrder="0"/>
    </xf>
    <xf borderId="0" fillId="20" fontId="5" numFmtId="0" xfId="0" applyFont="1"/>
    <xf borderId="0" fillId="0" fontId="8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2" numFmtId="0" xfId="0" applyAlignment="1" applyFont="1">
      <alignment readingOrder="0" vertical="bottom"/>
    </xf>
    <xf borderId="0" fillId="21" fontId="8" numFmtId="0" xfId="0" applyAlignment="1" applyFont="1">
      <alignment readingOrder="0" vertical="bottom"/>
    </xf>
    <xf borderId="0" fillId="21" fontId="8" numFmtId="4" xfId="0" applyAlignment="1" applyFont="1" applyNumberFormat="1">
      <alignment horizontal="right" readingOrder="0" vertical="bottom"/>
    </xf>
    <xf borderId="0" fillId="21" fontId="8" numFmtId="0" xfId="0" applyAlignment="1" applyFont="1">
      <alignment horizontal="right" readingOrder="0" vertical="bottom"/>
    </xf>
    <xf borderId="0" fillId="23" fontId="5" numFmtId="0" xfId="0" applyAlignment="1" applyFill="1" applyFont="1">
      <alignment readingOrder="0"/>
    </xf>
    <xf borderId="0" fillId="4" fontId="8" numFmtId="0" xfId="0" applyAlignment="1" applyFont="1">
      <alignment readingOrder="0" vertical="bottom"/>
    </xf>
    <xf borderId="0" fillId="0" fontId="5" numFmtId="0" xfId="0" applyFont="1"/>
    <xf borderId="0" fillId="0" fontId="10" numFmtId="0" xfId="0" applyFont="1"/>
    <xf borderId="0" fillId="0" fontId="10" numFmtId="4" xfId="0" applyFont="1" applyNumberFormat="1"/>
    <xf borderId="0" fillId="0" fontId="19" numFmtId="0" xfId="0" applyAlignment="1" applyFont="1">
      <alignment horizontal="right" readingOrder="0" vertical="bottom"/>
    </xf>
    <xf borderId="0" fillId="0" fontId="8" numFmtId="4" xfId="0" applyAlignment="1" applyFont="1" applyNumberFormat="1">
      <alignment horizontal="right" vertical="bottom"/>
    </xf>
    <xf borderId="0" fillId="21" fontId="5" numFmtId="0" xfId="0" applyFont="1"/>
    <xf borderId="0" fillId="0" fontId="8" numFmtId="166" xfId="0" applyAlignment="1" applyFont="1" applyNumberFormat="1">
      <alignment horizontal="right" readingOrder="0" vertical="top"/>
    </xf>
    <xf borderId="0" fillId="0" fontId="7" numFmtId="167" xfId="0" applyAlignment="1" applyFont="1" applyNumberFormat="1">
      <alignment readingOrder="0" vertical="top"/>
    </xf>
    <xf borderId="0" fillId="0" fontId="5" numFmtId="167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0" fontId="5" numFmtId="165" xfId="0" applyFont="1" applyNumberFormat="1"/>
    <xf borderId="0" fillId="0" fontId="5" numFmtId="167" xfId="0" applyFont="1" applyNumberFormat="1"/>
    <xf borderId="0" fillId="0" fontId="5" numFmtId="1" xfId="0" applyAlignment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0" xfId="0" applyBorder="1" applyFont="1" applyNumberFormat="1"/>
    <xf borderId="1" fillId="5" fontId="12" numFmtId="0" xfId="0" applyAlignment="1" applyBorder="1" applyFont="1">
      <alignment horizontal="center" vertical="bottom"/>
    </xf>
    <xf borderId="1" fillId="6" fontId="12" numFmtId="0" xfId="0" applyAlignment="1" applyBorder="1" applyFont="1">
      <alignment horizontal="center" vertical="bottom"/>
    </xf>
  </cellXfs>
  <cellStyles count="1">
    <cellStyle xfId="0" name="Normal" builtinId="0"/>
  </cellStyles>
  <dxfs count="1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nstorren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tenstorrent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13"/>
    <col customWidth="1" min="2" max="2" width="13.0"/>
    <col customWidth="1" min="3" max="3" width="16.38"/>
    <col customWidth="1" min="15" max="15" width="17.5"/>
    <col customWidth="1" min="16" max="16" width="18.25"/>
    <col customWidth="1" min="18" max="18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tr">
        <f>SUM(C1 + D1 + E1 + F1)</f>
        <v>#VALUE!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4"/>
      <c r="P1" s="4"/>
      <c r="Q1" s="5"/>
      <c r="R1" s="6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7" t="s">
        <v>13</v>
      </c>
      <c r="B2" s="7" t="s">
        <v>14</v>
      </c>
      <c r="C2" s="7">
        <v>0.0</v>
      </c>
      <c r="D2" s="7">
        <v>0.0</v>
      </c>
      <c r="E2" s="7">
        <v>0.0</v>
      </c>
      <c r="F2" s="8">
        <v>5.0</v>
      </c>
      <c r="G2" s="7">
        <f t="shared" ref="G2:G535" si="1">IF(AND(C2&gt;=0,D2&gt;=0,E2&gt;=0,F2&gt;=0),SUM(C2:F2),"needs update")</f>
        <v>5</v>
      </c>
      <c r="H2" s="7" t="s">
        <v>14</v>
      </c>
      <c r="I2" s="7" t="s">
        <v>14</v>
      </c>
      <c r="J2" s="8">
        <v>1.0</v>
      </c>
      <c r="K2" s="7" t="s">
        <v>14</v>
      </c>
      <c r="L2" s="8">
        <v>1.0</v>
      </c>
      <c r="Q2" s="9"/>
    </row>
    <row r="3">
      <c r="A3" s="10" t="s">
        <v>15</v>
      </c>
      <c r="B3" s="7" t="s">
        <v>14</v>
      </c>
      <c r="C3" s="7">
        <v>17.6</v>
      </c>
      <c r="D3" s="7">
        <v>15.0</v>
      </c>
      <c r="E3" s="7">
        <v>7.5</v>
      </c>
      <c r="F3" s="8">
        <v>10.0</v>
      </c>
      <c r="G3" s="7">
        <f t="shared" si="1"/>
        <v>50.1</v>
      </c>
      <c r="H3" s="7" t="s">
        <v>14</v>
      </c>
      <c r="I3" s="7" t="s">
        <v>14</v>
      </c>
      <c r="J3" s="8">
        <v>2.0</v>
      </c>
      <c r="K3" s="7" t="s">
        <v>14</v>
      </c>
      <c r="L3" s="8">
        <v>0.0</v>
      </c>
      <c r="Q3" s="9"/>
    </row>
    <row r="4">
      <c r="A4" s="7" t="s">
        <v>16</v>
      </c>
      <c r="B4" s="7" t="s">
        <v>14</v>
      </c>
      <c r="C4" s="7">
        <v>0.0</v>
      </c>
      <c r="D4" s="7">
        <v>0.0</v>
      </c>
      <c r="E4" s="7">
        <v>3.8</v>
      </c>
      <c r="F4" s="7">
        <v>15.0</v>
      </c>
      <c r="G4" s="7">
        <f t="shared" si="1"/>
        <v>18.8</v>
      </c>
      <c r="H4" s="7" t="s">
        <v>14</v>
      </c>
      <c r="I4" s="7" t="s">
        <v>14</v>
      </c>
      <c r="J4" s="8">
        <v>1.0</v>
      </c>
      <c r="K4" s="7" t="s">
        <v>14</v>
      </c>
      <c r="L4" s="8">
        <v>1.0</v>
      </c>
      <c r="Q4" s="9"/>
    </row>
    <row r="5">
      <c r="A5" s="7" t="s">
        <v>17</v>
      </c>
      <c r="B5" s="7" t="s">
        <v>14</v>
      </c>
      <c r="C5" s="7">
        <v>14.3</v>
      </c>
      <c r="D5" s="7">
        <v>15.0</v>
      </c>
      <c r="E5" s="7">
        <v>8.2</v>
      </c>
      <c r="F5" s="8">
        <v>0.0</v>
      </c>
      <c r="G5" s="7">
        <f t="shared" si="1"/>
        <v>37.5</v>
      </c>
      <c r="H5" s="7" t="s">
        <v>14</v>
      </c>
      <c r="I5" s="7" t="s">
        <v>14</v>
      </c>
      <c r="J5" s="8">
        <v>1.0</v>
      </c>
      <c r="K5" s="7" t="s">
        <v>14</v>
      </c>
      <c r="L5" s="8">
        <v>0.0</v>
      </c>
      <c r="Q5" s="9"/>
    </row>
    <row r="6">
      <c r="A6" s="7" t="s">
        <v>18</v>
      </c>
      <c r="B6" s="7" t="s">
        <v>14</v>
      </c>
      <c r="C6" s="7">
        <v>0.0</v>
      </c>
      <c r="D6" s="7">
        <v>0.0</v>
      </c>
      <c r="E6" s="7">
        <v>0.0</v>
      </c>
      <c r="F6" s="8">
        <v>0.0</v>
      </c>
      <c r="G6" s="7">
        <f t="shared" si="1"/>
        <v>0</v>
      </c>
      <c r="H6" s="7" t="s">
        <v>14</v>
      </c>
      <c r="I6" s="7" t="s">
        <v>14</v>
      </c>
      <c r="J6" s="8">
        <v>1.0</v>
      </c>
      <c r="K6" s="7" t="s">
        <v>14</v>
      </c>
      <c r="L6" s="8">
        <v>1.0</v>
      </c>
      <c r="Q6" s="11"/>
    </row>
    <row r="7">
      <c r="A7" s="7" t="s">
        <v>19</v>
      </c>
      <c r="B7" s="7" t="s">
        <v>14</v>
      </c>
      <c r="C7" s="7">
        <v>0.0</v>
      </c>
      <c r="D7" s="7">
        <v>15.0</v>
      </c>
      <c r="E7" s="7">
        <v>9.7</v>
      </c>
      <c r="F7" s="8">
        <v>0.0</v>
      </c>
      <c r="G7" s="7">
        <f t="shared" si="1"/>
        <v>24.7</v>
      </c>
      <c r="H7" s="7" t="s">
        <v>14</v>
      </c>
      <c r="I7" s="7" t="s">
        <v>14</v>
      </c>
      <c r="J7" s="8">
        <v>1.0</v>
      </c>
      <c r="K7" s="7" t="s">
        <v>14</v>
      </c>
      <c r="L7" s="8">
        <v>0.0</v>
      </c>
      <c r="Q7" s="11"/>
    </row>
    <row r="8">
      <c r="A8" s="7" t="s">
        <v>20</v>
      </c>
      <c r="B8" s="7" t="s">
        <v>14</v>
      </c>
      <c r="C8" s="7">
        <v>15.9</v>
      </c>
      <c r="D8" s="7">
        <v>0.0</v>
      </c>
      <c r="E8" s="7">
        <v>6.0</v>
      </c>
      <c r="F8" s="8">
        <v>20.0</v>
      </c>
      <c r="G8" s="7">
        <f t="shared" si="1"/>
        <v>41.9</v>
      </c>
      <c r="H8" s="7" t="s">
        <v>14</v>
      </c>
      <c r="I8" s="7" t="s">
        <v>14</v>
      </c>
      <c r="J8" s="8">
        <v>1.0</v>
      </c>
      <c r="K8" s="7" t="s">
        <v>14</v>
      </c>
      <c r="L8" s="8">
        <v>0.0</v>
      </c>
      <c r="N8" s="12"/>
      <c r="Q8" s="11"/>
    </row>
    <row r="9">
      <c r="A9" s="7" t="s">
        <v>21</v>
      </c>
      <c r="B9" s="7" t="s">
        <v>14</v>
      </c>
      <c r="C9" s="7">
        <v>12.3</v>
      </c>
      <c r="D9" s="7">
        <v>0.0</v>
      </c>
      <c r="E9" s="7">
        <v>1.5</v>
      </c>
      <c r="F9" s="8">
        <v>5.0</v>
      </c>
      <c r="G9" s="7">
        <f t="shared" si="1"/>
        <v>18.8</v>
      </c>
      <c r="H9" s="7" t="s">
        <v>14</v>
      </c>
      <c r="I9" s="7" t="s">
        <v>14</v>
      </c>
      <c r="J9" s="8">
        <v>1.0</v>
      </c>
      <c r="K9" s="7" t="s">
        <v>14</v>
      </c>
      <c r="L9" s="8">
        <v>0.0</v>
      </c>
      <c r="Q9" s="11"/>
    </row>
    <row r="10">
      <c r="A10" s="7" t="s">
        <v>22</v>
      </c>
      <c r="B10" s="7" t="s">
        <v>14</v>
      </c>
      <c r="C10" s="7">
        <v>0.0</v>
      </c>
      <c r="D10" s="7">
        <v>0.0</v>
      </c>
      <c r="E10" s="7">
        <v>0.0</v>
      </c>
      <c r="F10" s="8">
        <v>5.0</v>
      </c>
      <c r="G10" s="7">
        <f t="shared" si="1"/>
        <v>5</v>
      </c>
      <c r="H10" s="7" t="s">
        <v>14</v>
      </c>
      <c r="I10" s="7" t="s">
        <v>14</v>
      </c>
      <c r="J10" s="8">
        <v>1.0</v>
      </c>
      <c r="K10" s="7" t="s">
        <v>14</v>
      </c>
      <c r="L10" s="8">
        <v>1.0</v>
      </c>
      <c r="N10" s="12"/>
      <c r="Q10" s="11"/>
    </row>
    <row r="11">
      <c r="A11" s="7" t="s">
        <v>23</v>
      </c>
      <c r="B11" s="7" t="s">
        <v>14</v>
      </c>
      <c r="C11" s="7">
        <v>15.0</v>
      </c>
      <c r="D11" s="7">
        <v>15.0</v>
      </c>
      <c r="E11" s="7">
        <v>5.3</v>
      </c>
      <c r="F11" s="8">
        <v>5.0</v>
      </c>
      <c r="G11" s="7">
        <f t="shared" si="1"/>
        <v>40.3</v>
      </c>
      <c r="H11" s="7" t="s">
        <v>14</v>
      </c>
      <c r="I11" s="7" t="s">
        <v>14</v>
      </c>
      <c r="J11" s="8">
        <v>1.0</v>
      </c>
      <c r="K11" s="7" t="s">
        <v>14</v>
      </c>
      <c r="L11" s="8">
        <v>0.0</v>
      </c>
      <c r="N11" s="12"/>
      <c r="Q11" s="11"/>
    </row>
    <row r="12">
      <c r="A12" s="7" t="s">
        <v>24</v>
      </c>
      <c r="B12" s="7" t="s">
        <v>14</v>
      </c>
      <c r="C12" s="7">
        <v>0.0</v>
      </c>
      <c r="D12" s="7">
        <v>15.0</v>
      </c>
      <c r="E12" s="7">
        <v>3.8</v>
      </c>
      <c r="F12" s="8">
        <v>5.0</v>
      </c>
      <c r="G12" s="7">
        <f t="shared" si="1"/>
        <v>23.8</v>
      </c>
      <c r="H12" s="7" t="s">
        <v>14</v>
      </c>
      <c r="I12" s="7" t="s">
        <v>14</v>
      </c>
      <c r="J12" s="8">
        <v>1.0</v>
      </c>
      <c r="K12" s="7" t="s">
        <v>14</v>
      </c>
      <c r="L12" s="8">
        <v>1.0</v>
      </c>
      <c r="N12" s="12"/>
      <c r="Q12" s="11"/>
    </row>
    <row r="13">
      <c r="A13" s="7" t="s">
        <v>25</v>
      </c>
      <c r="B13" s="7" t="s">
        <v>14</v>
      </c>
      <c r="C13" s="7">
        <v>13.3</v>
      </c>
      <c r="D13" s="7">
        <v>15.0</v>
      </c>
      <c r="E13" s="7">
        <v>0.0</v>
      </c>
      <c r="F13" s="8">
        <v>0.0</v>
      </c>
      <c r="G13" s="7">
        <f t="shared" si="1"/>
        <v>28.3</v>
      </c>
      <c r="H13" s="7" t="s">
        <v>14</v>
      </c>
      <c r="I13" s="7" t="s">
        <v>14</v>
      </c>
      <c r="J13" s="8">
        <v>1.0</v>
      </c>
      <c r="K13" s="7" t="s">
        <v>14</v>
      </c>
      <c r="L13" s="8">
        <v>1.0</v>
      </c>
      <c r="N13" s="12"/>
      <c r="Q13" s="11"/>
    </row>
    <row r="14">
      <c r="A14" s="7" t="s">
        <v>26</v>
      </c>
      <c r="B14" s="7" t="s">
        <v>14</v>
      </c>
      <c r="C14" s="7">
        <v>0.0</v>
      </c>
      <c r="D14" s="7">
        <v>15.0</v>
      </c>
      <c r="E14" s="7">
        <v>7.5</v>
      </c>
      <c r="F14" s="8">
        <v>5.0</v>
      </c>
      <c r="G14" s="7">
        <f t="shared" si="1"/>
        <v>27.5</v>
      </c>
      <c r="H14" s="7" t="s">
        <v>14</v>
      </c>
      <c r="I14" s="7" t="s">
        <v>14</v>
      </c>
      <c r="J14" s="13">
        <v>1.0</v>
      </c>
      <c r="K14" s="14" t="s">
        <v>14</v>
      </c>
      <c r="L14" s="13">
        <v>1.0</v>
      </c>
      <c r="N14" s="12"/>
      <c r="Q14" s="11"/>
    </row>
    <row r="15">
      <c r="A15" s="7" t="s">
        <v>27</v>
      </c>
      <c r="B15" s="7" t="s">
        <v>14</v>
      </c>
      <c r="C15" s="7">
        <v>0.0</v>
      </c>
      <c r="D15" s="7">
        <v>0.0</v>
      </c>
      <c r="E15" s="7">
        <v>0.0</v>
      </c>
      <c r="F15" s="8">
        <v>0.0</v>
      </c>
      <c r="G15" s="7">
        <f t="shared" si="1"/>
        <v>0</v>
      </c>
      <c r="H15" s="7" t="s">
        <v>14</v>
      </c>
      <c r="I15" s="7" t="s">
        <v>14</v>
      </c>
      <c r="J15" s="13">
        <v>0.0</v>
      </c>
      <c r="K15" s="14" t="s">
        <v>14</v>
      </c>
      <c r="L15" s="13">
        <v>1.0</v>
      </c>
      <c r="N15" s="12"/>
      <c r="Q15" s="11"/>
    </row>
    <row r="16">
      <c r="A16" s="7" t="s">
        <v>28</v>
      </c>
      <c r="B16" s="7" t="s">
        <v>14</v>
      </c>
      <c r="C16" s="7">
        <v>5.6</v>
      </c>
      <c r="D16" s="7">
        <v>0.0</v>
      </c>
      <c r="E16" s="7">
        <v>9.0</v>
      </c>
      <c r="F16" s="8">
        <v>5.0</v>
      </c>
      <c r="G16" s="7">
        <f t="shared" si="1"/>
        <v>19.6</v>
      </c>
      <c r="H16" s="7" t="s">
        <v>14</v>
      </c>
      <c r="I16" s="7" t="s">
        <v>14</v>
      </c>
      <c r="J16" s="14">
        <v>2.0</v>
      </c>
      <c r="K16" s="14" t="s">
        <v>14</v>
      </c>
      <c r="L16" s="14">
        <v>2.0</v>
      </c>
      <c r="N16" s="12"/>
      <c r="Q16" s="11"/>
    </row>
    <row r="17">
      <c r="A17" s="7" t="s">
        <v>29</v>
      </c>
      <c r="B17" s="7" t="s">
        <v>14</v>
      </c>
      <c r="C17" s="7">
        <v>0.0</v>
      </c>
      <c r="D17" s="7">
        <v>15.0</v>
      </c>
      <c r="E17" s="7">
        <v>5.3</v>
      </c>
      <c r="F17" s="8">
        <v>5.0</v>
      </c>
      <c r="G17" s="7">
        <f t="shared" si="1"/>
        <v>25.3</v>
      </c>
      <c r="H17" s="7" t="s">
        <v>14</v>
      </c>
      <c r="I17" s="7" t="s">
        <v>14</v>
      </c>
      <c r="J17" s="13">
        <v>1.0</v>
      </c>
      <c r="K17" s="14" t="s">
        <v>14</v>
      </c>
      <c r="L17" s="13">
        <v>1.0</v>
      </c>
      <c r="N17" s="12"/>
      <c r="Q17" s="11"/>
    </row>
    <row r="18">
      <c r="A18" s="7" t="s">
        <v>30</v>
      </c>
      <c r="B18" s="7" t="s">
        <v>14</v>
      </c>
      <c r="C18" s="7">
        <v>11.5</v>
      </c>
      <c r="D18" s="7">
        <v>15.0</v>
      </c>
      <c r="E18" s="7">
        <v>10.5</v>
      </c>
      <c r="F18" s="8">
        <v>5.0</v>
      </c>
      <c r="G18" s="7">
        <f t="shared" si="1"/>
        <v>42</v>
      </c>
      <c r="H18" s="7" t="s">
        <v>14</v>
      </c>
      <c r="I18" s="7" t="s">
        <v>14</v>
      </c>
      <c r="J18" s="13">
        <v>1.0</v>
      </c>
      <c r="K18" s="14" t="s">
        <v>14</v>
      </c>
      <c r="L18" s="13">
        <v>0.0</v>
      </c>
      <c r="N18" s="12"/>
      <c r="Q18" s="11"/>
    </row>
    <row r="19">
      <c r="A19" s="7" t="s">
        <v>31</v>
      </c>
      <c r="B19" s="7" t="s">
        <v>14</v>
      </c>
      <c r="C19" s="7">
        <v>14.8</v>
      </c>
      <c r="D19" s="7">
        <v>15.0</v>
      </c>
      <c r="E19" s="7">
        <v>8.2</v>
      </c>
      <c r="F19" s="8">
        <v>5.0</v>
      </c>
      <c r="G19" s="7">
        <f t="shared" si="1"/>
        <v>43</v>
      </c>
      <c r="H19" s="7" t="s">
        <v>14</v>
      </c>
      <c r="I19" s="7" t="s">
        <v>14</v>
      </c>
      <c r="J19" s="13">
        <v>1.0</v>
      </c>
      <c r="K19" s="14" t="s">
        <v>14</v>
      </c>
      <c r="L19" s="13">
        <v>0.0</v>
      </c>
      <c r="N19" s="12"/>
      <c r="Q19" s="11"/>
    </row>
    <row r="20">
      <c r="A20" s="7" t="s">
        <v>32</v>
      </c>
      <c r="B20" s="15" t="s">
        <v>14</v>
      </c>
      <c r="C20" s="13">
        <v>11.9</v>
      </c>
      <c r="D20" s="8">
        <v>15.0</v>
      </c>
      <c r="E20" s="8">
        <v>7.5</v>
      </c>
      <c r="F20" s="8">
        <v>5.0</v>
      </c>
      <c r="G20" s="7">
        <f t="shared" si="1"/>
        <v>39.4</v>
      </c>
      <c r="H20" s="7" t="s">
        <v>14</v>
      </c>
      <c r="I20" s="7" t="s">
        <v>14</v>
      </c>
      <c r="J20" s="13">
        <v>1.0</v>
      </c>
      <c r="K20" s="14" t="s">
        <v>14</v>
      </c>
      <c r="L20" s="13">
        <v>1.0</v>
      </c>
      <c r="Q20" s="11"/>
    </row>
    <row r="21">
      <c r="A21" s="7" t="s">
        <v>33</v>
      </c>
      <c r="B21" s="15" t="s">
        <v>14</v>
      </c>
      <c r="C21" s="7">
        <v>0.0</v>
      </c>
      <c r="D21" s="8">
        <v>15.0</v>
      </c>
      <c r="E21" s="8">
        <v>4.5</v>
      </c>
      <c r="F21" s="8">
        <v>5.0</v>
      </c>
      <c r="G21" s="7">
        <f t="shared" si="1"/>
        <v>24.5</v>
      </c>
      <c r="H21" s="7" t="s">
        <v>14</v>
      </c>
      <c r="I21" s="7" t="s">
        <v>14</v>
      </c>
      <c r="J21" s="13">
        <v>1.0</v>
      </c>
      <c r="K21" s="14" t="s">
        <v>14</v>
      </c>
      <c r="L21" s="13">
        <v>0.0</v>
      </c>
      <c r="Q21" s="11"/>
    </row>
    <row r="22">
      <c r="A22" s="7" t="s">
        <v>34</v>
      </c>
      <c r="B22" s="7" t="s">
        <v>14</v>
      </c>
      <c r="C22" s="7">
        <v>0.0</v>
      </c>
      <c r="D22" s="8">
        <v>15.0</v>
      </c>
      <c r="E22" s="8">
        <v>11.2</v>
      </c>
      <c r="F22" s="8">
        <v>5.0</v>
      </c>
      <c r="G22" s="7">
        <f t="shared" si="1"/>
        <v>31.2</v>
      </c>
      <c r="H22" s="7" t="s">
        <v>14</v>
      </c>
      <c r="I22" s="7" t="s">
        <v>14</v>
      </c>
      <c r="J22" s="8">
        <v>1.0</v>
      </c>
      <c r="K22" s="7" t="s">
        <v>14</v>
      </c>
      <c r="L22" s="8">
        <v>0.0</v>
      </c>
      <c r="Q22" s="11"/>
    </row>
    <row r="23">
      <c r="A23" s="7" t="s">
        <v>35</v>
      </c>
      <c r="B23" s="7" t="s">
        <v>14</v>
      </c>
      <c r="C23" s="7">
        <v>0.0</v>
      </c>
      <c r="D23" s="8">
        <v>15.0</v>
      </c>
      <c r="E23" s="8">
        <v>0.0</v>
      </c>
      <c r="F23" s="8">
        <v>5.0</v>
      </c>
      <c r="G23" s="7">
        <f t="shared" si="1"/>
        <v>20</v>
      </c>
      <c r="H23" s="7" t="s">
        <v>14</v>
      </c>
      <c r="I23" s="7" t="s">
        <v>14</v>
      </c>
      <c r="J23" s="8">
        <v>1.0</v>
      </c>
      <c r="K23" s="7" t="s">
        <v>14</v>
      </c>
      <c r="L23" s="8">
        <v>1.0</v>
      </c>
      <c r="Q23" s="11"/>
    </row>
    <row r="24">
      <c r="A24" s="7" t="s">
        <v>36</v>
      </c>
      <c r="B24" s="7" t="s">
        <v>14</v>
      </c>
      <c r="C24" s="7">
        <v>0.0</v>
      </c>
      <c r="D24" s="8">
        <v>15.0</v>
      </c>
      <c r="E24" s="8">
        <v>9.0</v>
      </c>
      <c r="F24" s="8">
        <v>5.0</v>
      </c>
      <c r="G24" s="7">
        <f t="shared" si="1"/>
        <v>29</v>
      </c>
      <c r="H24" s="7" t="s">
        <v>14</v>
      </c>
      <c r="I24" s="7" t="s">
        <v>14</v>
      </c>
      <c r="J24" s="8">
        <v>1.0</v>
      </c>
      <c r="K24" s="7" t="s">
        <v>14</v>
      </c>
      <c r="L24" s="8">
        <v>0.0</v>
      </c>
      <c r="Q24" s="11"/>
    </row>
    <row r="25">
      <c r="A25" s="7" t="s">
        <v>37</v>
      </c>
      <c r="B25" s="7" t="s">
        <v>14</v>
      </c>
      <c r="C25" s="7">
        <v>0.0</v>
      </c>
      <c r="D25" s="8">
        <v>0.0</v>
      </c>
      <c r="E25" s="8">
        <v>4.5</v>
      </c>
      <c r="F25" s="8">
        <v>5.0</v>
      </c>
      <c r="G25" s="7">
        <f t="shared" si="1"/>
        <v>9.5</v>
      </c>
      <c r="H25" s="7" t="s">
        <v>14</v>
      </c>
      <c r="I25" s="7" t="s">
        <v>14</v>
      </c>
      <c r="J25" s="8">
        <v>1.0</v>
      </c>
      <c r="K25" s="7" t="s">
        <v>14</v>
      </c>
      <c r="L25" s="8">
        <v>1.0</v>
      </c>
      <c r="Q25" s="11"/>
    </row>
    <row r="26">
      <c r="A26" s="7" t="s">
        <v>38</v>
      </c>
      <c r="B26" s="7" t="s">
        <v>14</v>
      </c>
      <c r="C26" s="7">
        <v>0.0</v>
      </c>
      <c r="D26" s="8">
        <v>0.0</v>
      </c>
      <c r="E26" s="8">
        <v>0.0</v>
      </c>
      <c r="F26" s="7">
        <v>5.0</v>
      </c>
      <c r="G26" s="7">
        <f t="shared" si="1"/>
        <v>5</v>
      </c>
      <c r="H26" s="7" t="s">
        <v>14</v>
      </c>
      <c r="I26" s="7" t="s">
        <v>14</v>
      </c>
      <c r="J26" s="8">
        <v>1.0</v>
      </c>
      <c r="K26" s="7" t="s">
        <v>14</v>
      </c>
      <c r="L26" s="8">
        <v>0.0</v>
      </c>
      <c r="Q26" s="11"/>
    </row>
    <row r="27">
      <c r="A27" s="7" t="s">
        <v>39</v>
      </c>
      <c r="B27" s="7" t="s">
        <v>14</v>
      </c>
      <c r="C27" s="7">
        <v>0.0</v>
      </c>
      <c r="D27" s="8">
        <v>0.0</v>
      </c>
      <c r="E27" s="8">
        <v>0.0</v>
      </c>
      <c r="F27" s="8">
        <v>0.0</v>
      </c>
      <c r="G27" s="7">
        <f t="shared" si="1"/>
        <v>0</v>
      </c>
      <c r="H27" s="7" t="s">
        <v>14</v>
      </c>
      <c r="I27" s="7" t="s">
        <v>14</v>
      </c>
      <c r="J27" s="8">
        <v>0.0</v>
      </c>
      <c r="K27" s="7" t="s">
        <v>14</v>
      </c>
      <c r="L27" s="8">
        <v>1.0</v>
      </c>
      <c r="Q27" s="11"/>
    </row>
    <row r="28">
      <c r="A28" s="7" t="s">
        <v>40</v>
      </c>
      <c r="B28" s="7" t="s">
        <v>14</v>
      </c>
      <c r="C28" s="7">
        <v>0.0</v>
      </c>
      <c r="D28" s="8">
        <v>0.0</v>
      </c>
      <c r="E28" s="8">
        <v>9.7</v>
      </c>
      <c r="F28" s="8">
        <v>5.0</v>
      </c>
      <c r="G28" s="7">
        <f t="shared" si="1"/>
        <v>14.7</v>
      </c>
      <c r="H28" s="7" t="s">
        <v>14</v>
      </c>
      <c r="I28" s="7" t="s">
        <v>14</v>
      </c>
      <c r="J28" s="8">
        <v>1.0</v>
      </c>
      <c r="K28" s="7" t="s">
        <v>14</v>
      </c>
      <c r="L28" s="8">
        <v>1.0</v>
      </c>
      <c r="N28" s="12"/>
      <c r="Q28" s="11"/>
    </row>
    <row r="29">
      <c r="A29" s="7" t="s">
        <v>41</v>
      </c>
      <c r="B29" s="7" t="s">
        <v>14</v>
      </c>
      <c r="C29" s="7">
        <v>0.0</v>
      </c>
      <c r="D29" s="8">
        <v>15.0</v>
      </c>
      <c r="E29" s="8">
        <v>9.7</v>
      </c>
      <c r="F29" s="8">
        <v>5.0</v>
      </c>
      <c r="G29" s="7">
        <f t="shared" si="1"/>
        <v>29.7</v>
      </c>
      <c r="H29" s="7" t="s">
        <v>14</v>
      </c>
      <c r="I29" s="7" t="s">
        <v>14</v>
      </c>
      <c r="J29" s="8">
        <v>1.0</v>
      </c>
      <c r="K29" s="7" t="s">
        <v>14</v>
      </c>
      <c r="L29" s="8">
        <v>0.0</v>
      </c>
      <c r="N29" s="12"/>
      <c r="Q29" s="9"/>
      <c r="R29" s="11"/>
    </row>
    <row r="30">
      <c r="A30" s="7" t="s">
        <v>42</v>
      </c>
      <c r="B30" s="7" t="s">
        <v>14</v>
      </c>
      <c r="C30" s="7">
        <v>0.0</v>
      </c>
      <c r="D30" s="8">
        <v>0.0</v>
      </c>
      <c r="E30" s="8">
        <v>3.8</v>
      </c>
      <c r="F30" s="8">
        <v>5.0</v>
      </c>
      <c r="G30" s="7">
        <f t="shared" si="1"/>
        <v>8.8</v>
      </c>
      <c r="H30" s="7" t="s">
        <v>14</v>
      </c>
      <c r="I30" s="7" t="s">
        <v>14</v>
      </c>
      <c r="J30" s="8">
        <v>0.0</v>
      </c>
      <c r="K30" s="7" t="s">
        <v>14</v>
      </c>
      <c r="L30" s="8">
        <v>1.0</v>
      </c>
      <c r="N30" s="12"/>
      <c r="Q30" s="9"/>
      <c r="R30" s="11"/>
    </row>
    <row r="31">
      <c r="A31" s="7" t="s">
        <v>43</v>
      </c>
      <c r="B31" s="7" t="s">
        <v>14</v>
      </c>
      <c r="C31" s="8">
        <v>11.4</v>
      </c>
      <c r="D31" s="8">
        <v>15.0</v>
      </c>
      <c r="E31" s="8">
        <v>9.7</v>
      </c>
      <c r="F31" s="8">
        <v>15.0</v>
      </c>
      <c r="G31" s="7">
        <f t="shared" si="1"/>
        <v>51.1</v>
      </c>
      <c r="H31" s="7" t="s">
        <v>14</v>
      </c>
      <c r="I31" s="7" t="s">
        <v>14</v>
      </c>
      <c r="J31" s="8">
        <v>2.0</v>
      </c>
      <c r="K31" s="7" t="s">
        <v>14</v>
      </c>
      <c r="L31" s="8">
        <v>2.0</v>
      </c>
      <c r="M31" s="7" t="s">
        <v>14</v>
      </c>
      <c r="N31" s="12" t="s">
        <v>14</v>
      </c>
      <c r="Q31" s="9"/>
    </row>
    <row r="32">
      <c r="A32" s="7" t="s">
        <v>44</v>
      </c>
      <c r="B32" s="7" t="s">
        <v>14</v>
      </c>
      <c r="C32" s="7">
        <v>0.0</v>
      </c>
      <c r="D32" s="8">
        <v>15.0</v>
      </c>
      <c r="E32" s="8">
        <v>3.0</v>
      </c>
      <c r="F32" s="8">
        <v>5.0</v>
      </c>
      <c r="G32" s="7">
        <f t="shared" si="1"/>
        <v>23</v>
      </c>
      <c r="H32" s="7" t="s">
        <v>14</v>
      </c>
      <c r="I32" s="7" t="s">
        <v>14</v>
      </c>
      <c r="J32" s="8">
        <v>1.0</v>
      </c>
      <c r="K32" s="7" t="s">
        <v>14</v>
      </c>
      <c r="L32" s="8">
        <v>0.0</v>
      </c>
      <c r="M32" s="7" t="s">
        <v>14</v>
      </c>
      <c r="N32" s="7" t="s">
        <v>14</v>
      </c>
      <c r="Q32" s="9"/>
      <c r="R32" s="11"/>
    </row>
    <row r="33">
      <c r="A33" s="7" t="s">
        <v>45</v>
      </c>
      <c r="B33" s="7" t="s">
        <v>14</v>
      </c>
      <c r="C33" s="7">
        <v>0.0</v>
      </c>
      <c r="D33" s="8">
        <v>15.0</v>
      </c>
      <c r="E33" s="8">
        <v>6.7</v>
      </c>
      <c r="F33" s="8">
        <v>5.0</v>
      </c>
      <c r="G33" s="7">
        <f t="shared" si="1"/>
        <v>26.7</v>
      </c>
      <c r="H33" s="7" t="s">
        <v>14</v>
      </c>
      <c r="I33" s="7" t="s">
        <v>14</v>
      </c>
      <c r="J33" s="8">
        <v>1.0</v>
      </c>
      <c r="K33" s="7" t="s">
        <v>14</v>
      </c>
      <c r="L33" s="8">
        <v>0.0</v>
      </c>
      <c r="M33" s="7" t="s">
        <v>14</v>
      </c>
      <c r="N33" s="12" t="s">
        <v>14</v>
      </c>
      <c r="Q33" s="9"/>
      <c r="R33" s="11"/>
    </row>
    <row r="34">
      <c r="A34" s="7" t="s">
        <v>46</v>
      </c>
      <c r="B34" s="7" t="s">
        <v>14</v>
      </c>
      <c r="C34" s="7">
        <v>20.0</v>
      </c>
      <c r="D34" s="8">
        <v>15.0</v>
      </c>
      <c r="E34" s="8">
        <v>9.7</v>
      </c>
      <c r="F34" s="8">
        <v>5.0</v>
      </c>
      <c r="G34" s="7">
        <f t="shared" si="1"/>
        <v>49.7</v>
      </c>
      <c r="H34" s="7" t="s">
        <v>14</v>
      </c>
      <c r="I34" s="7" t="s">
        <v>14</v>
      </c>
      <c r="J34" s="8">
        <v>4.0</v>
      </c>
      <c r="K34" s="7" t="s">
        <v>14</v>
      </c>
      <c r="L34" s="8">
        <v>0.0</v>
      </c>
      <c r="N34" s="12"/>
      <c r="Q34" s="9"/>
      <c r="R34" s="11"/>
    </row>
    <row r="35">
      <c r="A35" s="7" t="s">
        <v>47</v>
      </c>
      <c r="B35" s="7" t="s">
        <v>14</v>
      </c>
      <c r="C35" s="7">
        <v>0.0</v>
      </c>
      <c r="D35" s="8">
        <v>15.0</v>
      </c>
      <c r="E35" s="8">
        <v>6.0</v>
      </c>
      <c r="F35" s="8">
        <v>5.0</v>
      </c>
      <c r="G35" s="7">
        <f t="shared" si="1"/>
        <v>26</v>
      </c>
      <c r="H35" s="7" t="s">
        <v>14</v>
      </c>
      <c r="I35" s="7" t="s">
        <v>14</v>
      </c>
      <c r="J35" s="8">
        <v>2.0</v>
      </c>
      <c r="K35" s="7" t="s">
        <v>14</v>
      </c>
      <c r="L35" s="8">
        <v>2.0</v>
      </c>
      <c r="N35" s="12"/>
      <c r="Q35" s="9"/>
      <c r="R35" s="11"/>
    </row>
    <row r="36">
      <c r="A36" s="7" t="s">
        <v>48</v>
      </c>
      <c r="B36" s="7" t="s">
        <v>14</v>
      </c>
      <c r="C36" s="7">
        <v>0.0</v>
      </c>
      <c r="D36" s="8">
        <v>15.0</v>
      </c>
      <c r="E36" s="8">
        <v>2.2</v>
      </c>
      <c r="F36" s="8">
        <v>5.0</v>
      </c>
      <c r="G36" s="7">
        <f t="shared" si="1"/>
        <v>22.2</v>
      </c>
      <c r="H36" s="7" t="s">
        <v>14</v>
      </c>
      <c r="I36" s="7" t="s">
        <v>14</v>
      </c>
      <c r="J36" s="8">
        <v>0.0</v>
      </c>
      <c r="K36" s="7" t="s">
        <v>14</v>
      </c>
      <c r="L36" s="8">
        <v>1.0</v>
      </c>
      <c r="Q36" s="9"/>
    </row>
    <row r="37">
      <c r="A37" s="7" t="s">
        <v>49</v>
      </c>
      <c r="B37" s="7" t="s">
        <v>14</v>
      </c>
      <c r="C37" s="7">
        <v>0.0</v>
      </c>
      <c r="D37" s="8">
        <v>15.0</v>
      </c>
      <c r="E37" s="8">
        <v>0.0</v>
      </c>
      <c r="F37" s="8">
        <v>5.0</v>
      </c>
      <c r="G37" s="7">
        <f t="shared" si="1"/>
        <v>20</v>
      </c>
      <c r="H37" s="7" t="s">
        <v>14</v>
      </c>
      <c r="I37" s="7" t="s">
        <v>14</v>
      </c>
      <c r="J37" s="13">
        <v>1.0</v>
      </c>
      <c r="K37" s="14" t="s">
        <v>14</v>
      </c>
      <c r="L37" s="13">
        <v>1.0</v>
      </c>
      <c r="Q37" s="9"/>
    </row>
    <row r="38">
      <c r="A38" s="7" t="s">
        <v>50</v>
      </c>
      <c r="B38" s="7" t="s">
        <v>14</v>
      </c>
      <c r="C38" s="7">
        <v>0.0</v>
      </c>
      <c r="D38" s="8">
        <v>0.0</v>
      </c>
      <c r="E38" s="8">
        <v>6.7</v>
      </c>
      <c r="F38" s="8">
        <v>5.0</v>
      </c>
      <c r="G38" s="7">
        <f t="shared" si="1"/>
        <v>11.7</v>
      </c>
      <c r="H38" s="7" t="s">
        <v>14</v>
      </c>
      <c r="I38" s="7" t="s">
        <v>14</v>
      </c>
      <c r="J38" s="13">
        <v>1.0</v>
      </c>
      <c r="K38" s="14" t="s">
        <v>14</v>
      </c>
      <c r="L38" s="13">
        <v>1.0</v>
      </c>
      <c r="Q38" s="9"/>
    </row>
    <row r="39">
      <c r="A39" s="7" t="s">
        <v>51</v>
      </c>
      <c r="B39" s="7" t="s">
        <v>14</v>
      </c>
      <c r="C39" s="7">
        <v>0.0</v>
      </c>
      <c r="D39" s="8">
        <v>15.0</v>
      </c>
      <c r="E39" s="8">
        <v>0.0</v>
      </c>
      <c r="F39" s="8">
        <v>15.0</v>
      </c>
      <c r="G39" s="7">
        <f t="shared" si="1"/>
        <v>30</v>
      </c>
      <c r="H39" s="7" t="s">
        <v>14</v>
      </c>
      <c r="I39" s="7" t="s">
        <v>14</v>
      </c>
      <c r="J39" s="14">
        <v>1.0</v>
      </c>
      <c r="K39" s="14" t="s">
        <v>14</v>
      </c>
      <c r="L39" s="14">
        <v>0.0</v>
      </c>
      <c r="Q39" s="9"/>
    </row>
    <row r="40">
      <c r="A40" s="7" t="s">
        <v>52</v>
      </c>
      <c r="B40" s="7" t="s">
        <v>14</v>
      </c>
      <c r="C40" s="13">
        <v>0.0</v>
      </c>
      <c r="D40" s="8">
        <v>0.0</v>
      </c>
      <c r="E40" s="8">
        <v>8.2</v>
      </c>
      <c r="F40" s="8">
        <v>20.0</v>
      </c>
      <c r="G40" s="7">
        <f t="shared" si="1"/>
        <v>28.2</v>
      </c>
      <c r="H40" s="7" t="s">
        <v>14</v>
      </c>
      <c r="I40" s="7" t="s">
        <v>14</v>
      </c>
      <c r="J40" s="13">
        <v>2.0</v>
      </c>
      <c r="K40" s="14" t="s">
        <v>14</v>
      </c>
      <c r="L40" s="13">
        <v>2.0</v>
      </c>
      <c r="N40" s="12"/>
      <c r="Q40" s="9"/>
      <c r="R40" s="11"/>
    </row>
    <row r="41">
      <c r="A41" s="7" t="s">
        <v>53</v>
      </c>
      <c r="B41" s="7" t="s">
        <v>14</v>
      </c>
      <c r="C41" s="13">
        <v>0.0</v>
      </c>
      <c r="D41" s="8">
        <v>15.0</v>
      </c>
      <c r="E41" s="8">
        <v>7.5</v>
      </c>
      <c r="F41" s="8">
        <v>5.0</v>
      </c>
      <c r="G41" s="7">
        <f t="shared" si="1"/>
        <v>27.5</v>
      </c>
      <c r="H41" s="7" t="s">
        <v>14</v>
      </c>
      <c r="I41" s="7" t="s">
        <v>14</v>
      </c>
      <c r="J41" s="13">
        <v>1.0</v>
      </c>
      <c r="K41" s="14" t="s">
        <v>14</v>
      </c>
      <c r="L41" s="13">
        <v>1.0</v>
      </c>
      <c r="N41" s="12"/>
      <c r="Q41" s="9"/>
      <c r="R41" s="11"/>
    </row>
    <row r="42">
      <c r="A42" s="7" t="s">
        <v>54</v>
      </c>
      <c r="B42" s="7" t="s">
        <v>14</v>
      </c>
      <c r="C42" s="13">
        <v>14.1</v>
      </c>
      <c r="D42" s="8">
        <v>0.0</v>
      </c>
      <c r="E42" s="8">
        <v>0.0</v>
      </c>
      <c r="F42" s="8">
        <v>0.0</v>
      </c>
      <c r="G42" s="7">
        <f t="shared" si="1"/>
        <v>14.1</v>
      </c>
      <c r="H42" s="7" t="s">
        <v>14</v>
      </c>
      <c r="I42" s="7" t="s">
        <v>14</v>
      </c>
      <c r="J42" s="13">
        <v>1.0</v>
      </c>
      <c r="K42" s="14" t="s">
        <v>14</v>
      </c>
      <c r="L42" s="13">
        <v>1.0</v>
      </c>
      <c r="N42" s="12"/>
      <c r="Q42" s="9"/>
      <c r="R42" s="11"/>
    </row>
    <row r="43">
      <c r="A43" s="7" t="s">
        <v>55</v>
      </c>
      <c r="B43" s="7" t="s">
        <v>14</v>
      </c>
      <c r="C43" s="7">
        <v>0.0</v>
      </c>
      <c r="D43" s="8">
        <v>15.0</v>
      </c>
      <c r="E43" s="8">
        <v>6.7</v>
      </c>
      <c r="F43" s="8">
        <v>0.0</v>
      </c>
      <c r="G43" s="7">
        <f t="shared" si="1"/>
        <v>21.7</v>
      </c>
      <c r="H43" s="7" t="s">
        <v>14</v>
      </c>
      <c r="I43" s="7" t="s">
        <v>14</v>
      </c>
      <c r="J43" s="14">
        <v>1.0</v>
      </c>
      <c r="K43" s="14" t="s">
        <v>14</v>
      </c>
      <c r="L43" s="14">
        <v>1.0</v>
      </c>
      <c r="Q43" s="9"/>
    </row>
    <row r="44">
      <c r="A44" s="7" t="s">
        <v>56</v>
      </c>
      <c r="B44" s="7" t="s">
        <v>14</v>
      </c>
      <c r="C44" s="13">
        <v>20.0</v>
      </c>
      <c r="D44" s="8">
        <v>15.0</v>
      </c>
      <c r="E44" s="8">
        <v>5.3</v>
      </c>
      <c r="F44" s="8">
        <v>5.0</v>
      </c>
      <c r="G44" s="7">
        <f t="shared" si="1"/>
        <v>45.3</v>
      </c>
      <c r="H44" s="7" t="s">
        <v>14</v>
      </c>
      <c r="I44" s="7" t="s">
        <v>14</v>
      </c>
      <c r="J44" s="13">
        <v>1.0</v>
      </c>
      <c r="K44" s="14" t="s">
        <v>14</v>
      </c>
      <c r="L44" s="13">
        <v>0.0</v>
      </c>
      <c r="N44" s="12"/>
      <c r="Q44" s="9"/>
      <c r="R44" s="11"/>
    </row>
    <row r="45">
      <c r="A45" s="7" t="s">
        <v>57</v>
      </c>
      <c r="B45" s="7" t="s">
        <v>14</v>
      </c>
      <c r="C45" s="7">
        <v>0.0</v>
      </c>
      <c r="D45" s="8">
        <v>0.0</v>
      </c>
      <c r="E45" s="8">
        <v>0.0</v>
      </c>
      <c r="F45" s="8">
        <v>0.0</v>
      </c>
      <c r="G45" s="7">
        <f t="shared" si="1"/>
        <v>0</v>
      </c>
      <c r="H45" s="7" t="s">
        <v>14</v>
      </c>
      <c r="I45" s="7" t="s">
        <v>14</v>
      </c>
      <c r="J45" s="14">
        <v>1.0</v>
      </c>
      <c r="K45" s="14" t="s">
        <v>14</v>
      </c>
      <c r="L45" s="14">
        <v>0.0</v>
      </c>
      <c r="Q45" s="9"/>
    </row>
    <row r="46">
      <c r="A46" s="7" t="s">
        <v>58</v>
      </c>
      <c r="B46" s="7" t="s">
        <v>14</v>
      </c>
      <c r="C46" s="13">
        <v>0.0</v>
      </c>
      <c r="D46" s="8">
        <v>15.0</v>
      </c>
      <c r="E46" s="8">
        <v>9.7</v>
      </c>
      <c r="F46" s="8">
        <v>5.0</v>
      </c>
      <c r="G46" s="7">
        <f t="shared" si="1"/>
        <v>29.7</v>
      </c>
      <c r="H46" s="7" t="s">
        <v>14</v>
      </c>
      <c r="I46" s="7" t="s">
        <v>14</v>
      </c>
      <c r="J46" s="13">
        <v>1.0</v>
      </c>
      <c r="K46" s="14" t="s">
        <v>14</v>
      </c>
      <c r="L46" s="13">
        <v>1.0</v>
      </c>
      <c r="N46" s="12"/>
      <c r="Q46" s="9"/>
      <c r="R46" s="11"/>
    </row>
    <row r="47">
      <c r="A47" s="7" t="s">
        <v>59</v>
      </c>
      <c r="B47" s="7" t="s">
        <v>14</v>
      </c>
      <c r="C47" s="7">
        <v>0.0</v>
      </c>
      <c r="D47" s="8">
        <v>15.0</v>
      </c>
      <c r="E47" s="8">
        <v>12.8</v>
      </c>
      <c r="F47" s="8">
        <v>5.0</v>
      </c>
      <c r="G47" s="7">
        <f t="shared" si="1"/>
        <v>32.8</v>
      </c>
      <c r="H47" s="7" t="s">
        <v>14</v>
      </c>
      <c r="I47" s="7" t="s">
        <v>14</v>
      </c>
      <c r="J47" s="14">
        <v>1.0</v>
      </c>
      <c r="K47" s="14" t="s">
        <v>14</v>
      </c>
      <c r="L47" s="14">
        <v>0.0</v>
      </c>
      <c r="Q47" s="9"/>
      <c r="R47" s="11"/>
    </row>
    <row r="48">
      <c r="A48" s="7" t="s">
        <v>60</v>
      </c>
      <c r="B48" s="15" t="s">
        <v>14</v>
      </c>
      <c r="C48" s="13">
        <v>0.0</v>
      </c>
      <c r="D48" s="8">
        <v>0.0</v>
      </c>
      <c r="E48" s="7">
        <v>3.9</v>
      </c>
      <c r="F48" s="8">
        <v>15.0</v>
      </c>
      <c r="G48" s="7">
        <f t="shared" si="1"/>
        <v>18.9</v>
      </c>
      <c r="H48" s="7" t="s">
        <v>14</v>
      </c>
      <c r="I48" s="7" t="s">
        <v>14</v>
      </c>
      <c r="J48" s="13">
        <v>2.0</v>
      </c>
      <c r="K48" s="14" t="s">
        <v>14</v>
      </c>
      <c r="L48" s="13">
        <v>0.0</v>
      </c>
      <c r="N48" s="12"/>
      <c r="Q48" s="9"/>
      <c r="R48" s="11"/>
    </row>
    <row r="49">
      <c r="A49" s="7" t="s">
        <v>61</v>
      </c>
      <c r="B49" s="15" t="s">
        <v>14</v>
      </c>
      <c r="C49" s="8">
        <v>18.0</v>
      </c>
      <c r="D49" s="8">
        <v>0.0</v>
      </c>
      <c r="E49" s="8">
        <v>8.2</v>
      </c>
      <c r="F49" s="8">
        <v>20.0</v>
      </c>
      <c r="G49" s="7">
        <f t="shared" si="1"/>
        <v>46.2</v>
      </c>
      <c r="H49" s="7" t="s">
        <v>14</v>
      </c>
      <c r="I49" s="7" t="s">
        <v>14</v>
      </c>
      <c r="J49" s="13">
        <v>2.0</v>
      </c>
      <c r="K49" s="14" t="s">
        <v>14</v>
      </c>
      <c r="L49" s="13">
        <v>2.0</v>
      </c>
      <c r="Q49" s="9"/>
    </row>
    <row r="50">
      <c r="A50" s="7" t="s">
        <v>62</v>
      </c>
      <c r="B50" s="7" t="s">
        <v>14</v>
      </c>
      <c r="C50" s="8">
        <v>10.6</v>
      </c>
      <c r="D50" s="8">
        <v>0.0</v>
      </c>
      <c r="E50" s="8">
        <v>0.0</v>
      </c>
      <c r="F50" s="8">
        <v>5.0</v>
      </c>
      <c r="G50" s="7">
        <f t="shared" si="1"/>
        <v>15.6</v>
      </c>
      <c r="H50" s="7" t="s">
        <v>14</v>
      </c>
      <c r="I50" s="7" t="s">
        <v>14</v>
      </c>
      <c r="J50" s="13">
        <v>1.0</v>
      </c>
      <c r="K50" s="14" t="s">
        <v>14</v>
      </c>
      <c r="L50" s="13">
        <v>0.0</v>
      </c>
      <c r="Q50" s="9"/>
    </row>
    <row r="51">
      <c r="A51" s="7" t="s">
        <v>63</v>
      </c>
      <c r="B51" s="7" t="s">
        <v>14</v>
      </c>
      <c r="C51" s="8">
        <v>14.4</v>
      </c>
      <c r="D51" s="8">
        <v>0.0</v>
      </c>
      <c r="E51" s="8">
        <v>5.3</v>
      </c>
      <c r="F51" s="8">
        <v>5.0</v>
      </c>
      <c r="G51" s="7">
        <f t="shared" si="1"/>
        <v>24.7</v>
      </c>
      <c r="H51" s="7" t="s">
        <v>14</v>
      </c>
      <c r="I51" s="7" t="s">
        <v>14</v>
      </c>
      <c r="J51" s="13">
        <v>1.0</v>
      </c>
      <c r="K51" s="14" t="s">
        <v>14</v>
      </c>
      <c r="L51" s="13">
        <v>0.0</v>
      </c>
      <c r="Q51" s="9"/>
    </row>
    <row r="52">
      <c r="A52" s="7" t="s">
        <v>64</v>
      </c>
      <c r="B52" s="7" t="s">
        <v>14</v>
      </c>
      <c r="C52" s="7">
        <v>0.0</v>
      </c>
      <c r="D52" s="8">
        <v>0.0</v>
      </c>
      <c r="E52" s="8">
        <v>11.2</v>
      </c>
      <c r="F52" s="8">
        <v>5.0</v>
      </c>
      <c r="G52" s="7">
        <f t="shared" si="1"/>
        <v>16.2</v>
      </c>
      <c r="H52" s="7" t="s">
        <v>14</v>
      </c>
      <c r="I52" s="7" t="s">
        <v>14</v>
      </c>
      <c r="J52" s="13">
        <v>1.0</v>
      </c>
      <c r="K52" s="14" t="s">
        <v>14</v>
      </c>
      <c r="L52" s="13">
        <v>1.0</v>
      </c>
      <c r="Q52" s="9"/>
    </row>
    <row r="53">
      <c r="A53" s="7" t="s">
        <v>65</v>
      </c>
      <c r="B53" s="7" t="s">
        <v>14</v>
      </c>
      <c r="C53" s="7">
        <v>0.0</v>
      </c>
      <c r="D53" s="8">
        <v>0.0</v>
      </c>
      <c r="E53" s="8">
        <v>6.7</v>
      </c>
      <c r="F53" s="8">
        <v>0.0</v>
      </c>
      <c r="G53" s="7">
        <f t="shared" si="1"/>
        <v>6.7</v>
      </c>
      <c r="H53" s="7" t="s">
        <v>14</v>
      </c>
      <c r="I53" s="7" t="s">
        <v>14</v>
      </c>
      <c r="J53" s="13">
        <v>2.0</v>
      </c>
      <c r="K53" s="14" t="s">
        <v>14</v>
      </c>
      <c r="L53" s="13">
        <v>2.0</v>
      </c>
      <c r="Q53" s="9"/>
    </row>
    <row r="54">
      <c r="A54" s="7" t="s">
        <v>66</v>
      </c>
      <c r="B54" s="7" t="s">
        <v>14</v>
      </c>
      <c r="C54" s="7">
        <v>0.0</v>
      </c>
      <c r="D54" s="8">
        <v>15.0</v>
      </c>
      <c r="E54" s="8">
        <v>3.0</v>
      </c>
      <c r="F54" s="8">
        <v>0.0</v>
      </c>
      <c r="G54" s="7">
        <f t="shared" si="1"/>
        <v>18</v>
      </c>
      <c r="H54" s="7" t="s">
        <v>14</v>
      </c>
      <c r="I54" s="7" t="s">
        <v>14</v>
      </c>
      <c r="J54" s="13">
        <v>4.0</v>
      </c>
      <c r="K54" s="14" t="s">
        <v>14</v>
      </c>
      <c r="L54" s="13">
        <v>4.0</v>
      </c>
      <c r="Q54" s="9"/>
    </row>
    <row r="55">
      <c r="A55" s="7" t="s">
        <v>67</v>
      </c>
      <c r="B55" s="7" t="s">
        <v>14</v>
      </c>
      <c r="C55" s="7">
        <v>0.0</v>
      </c>
      <c r="D55" s="8">
        <v>0.0</v>
      </c>
      <c r="E55" s="8">
        <v>7.5</v>
      </c>
      <c r="F55" s="8">
        <v>15.0</v>
      </c>
      <c r="G55" s="7">
        <f t="shared" si="1"/>
        <v>22.5</v>
      </c>
      <c r="H55" s="7" t="s">
        <v>14</v>
      </c>
      <c r="I55" s="7" t="s">
        <v>14</v>
      </c>
      <c r="J55" s="13">
        <v>1.0</v>
      </c>
      <c r="K55" s="14" t="s">
        <v>14</v>
      </c>
      <c r="L55" s="13">
        <v>1.0</v>
      </c>
      <c r="Q55" s="9"/>
    </row>
    <row r="56">
      <c r="A56" s="7" t="s">
        <v>68</v>
      </c>
      <c r="B56" s="15" t="s">
        <v>14</v>
      </c>
      <c r="C56" s="7">
        <v>0.0</v>
      </c>
      <c r="D56" s="8">
        <v>15.0</v>
      </c>
      <c r="E56" s="8">
        <v>6.7</v>
      </c>
      <c r="F56" s="8">
        <v>5.0</v>
      </c>
      <c r="G56" s="7">
        <f t="shared" si="1"/>
        <v>26.7</v>
      </c>
      <c r="H56" s="7" t="s">
        <v>14</v>
      </c>
      <c r="I56" s="7" t="s">
        <v>14</v>
      </c>
      <c r="J56" s="13">
        <v>1.0</v>
      </c>
      <c r="K56" s="14" t="s">
        <v>14</v>
      </c>
      <c r="L56" s="13">
        <v>0.0</v>
      </c>
      <c r="Q56" s="9"/>
    </row>
    <row r="57">
      <c r="A57" s="7" t="s">
        <v>69</v>
      </c>
      <c r="B57" s="7" t="s">
        <v>14</v>
      </c>
      <c r="C57" s="7">
        <v>17.6</v>
      </c>
      <c r="D57" s="8">
        <v>15.0</v>
      </c>
      <c r="E57" s="7">
        <v>9.0</v>
      </c>
      <c r="F57" s="8">
        <v>10.0</v>
      </c>
      <c r="G57" s="7">
        <f t="shared" si="1"/>
        <v>51.6</v>
      </c>
      <c r="H57" s="7" t="s">
        <v>14</v>
      </c>
      <c r="I57" s="7" t="s">
        <v>14</v>
      </c>
      <c r="J57" s="13">
        <v>2.0</v>
      </c>
      <c r="K57" s="14" t="s">
        <v>14</v>
      </c>
      <c r="L57" s="13">
        <v>0.0</v>
      </c>
      <c r="Q57" s="9"/>
    </row>
    <row r="58">
      <c r="A58" s="7" t="s">
        <v>70</v>
      </c>
      <c r="B58" s="15" t="s">
        <v>14</v>
      </c>
      <c r="C58" s="7">
        <v>0.0</v>
      </c>
      <c r="D58" s="8">
        <v>15.0</v>
      </c>
      <c r="E58" s="8">
        <v>5.3</v>
      </c>
      <c r="F58" s="8">
        <v>0.0</v>
      </c>
      <c r="G58" s="7">
        <f t="shared" si="1"/>
        <v>20.3</v>
      </c>
      <c r="H58" s="7" t="s">
        <v>14</v>
      </c>
      <c r="I58" s="7" t="s">
        <v>14</v>
      </c>
      <c r="J58" s="13">
        <v>1.0</v>
      </c>
      <c r="K58" s="14" t="s">
        <v>14</v>
      </c>
      <c r="L58" s="13">
        <v>1.0</v>
      </c>
      <c r="Q58" s="9"/>
    </row>
    <row r="59">
      <c r="A59" s="7" t="s">
        <v>71</v>
      </c>
      <c r="B59" s="15" t="s">
        <v>14</v>
      </c>
      <c r="C59" s="7">
        <v>0.0</v>
      </c>
      <c r="D59" s="8">
        <v>0.0</v>
      </c>
      <c r="E59" s="8">
        <v>7.5</v>
      </c>
      <c r="F59" s="8">
        <v>5.0</v>
      </c>
      <c r="G59" s="7">
        <f t="shared" si="1"/>
        <v>12.5</v>
      </c>
      <c r="H59" s="7" t="s">
        <v>14</v>
      </c>
      <c r="I59" s="7" t="s">
        <v>14</v>
      </c>
      <c r="J59" s="13">
        <v>1.0</v>
      </c>
      <c r="K59" s="14" t="s">
        <v>14</v>
      </c>
      <c r="L59" s="13">
        <v>0.0</v>
      </c>
      <c r="Q59" s="9"/>
    </row>
    <row r="60">
      <c r="A60" s="7" t="s">
        <v>72</v>
      </c>
      <c r="B60" s="7" t="s">
        <v>14</v>
      </c>
      <c r="C60" s="7">
        <v>0.0</v>
      </c>
      <c r="D60" s="8">
        <v>15.0</v>
      </c>
      <c r="E60" s="8">
        <v>0.0</v>
      </c>
      <c r="F60" s="8">
        <v>5.0</v>
      </c>
      <c r="G60" s="7">
        <f t="shared" si="1"/>
        <v>20</v>
      </c>
      <c r="H60" s="7" t="s">
        <v>14</v>
      </c>
      <c r="I60" s="7" t="s">
        <v>14</v>
      </c>
      <c r="J60" s="13">
        <v>1.0</v>
      </c>
      <c r="K60" s="14" t="s">
        <v>14</v>
      </c>
      <c r="L60" s="13">
        <v>0.0</v>
      </c>
      <c r="Q60" s="9"/>
    </row>
    <row r="61">
      <c r="A61" s="7" t="s">
        <v>73</v>
      </c>
      <c r="B61" s="15" t="s">
        <v>14</v>
      </c>
      <c r="C61" s="7">
        <v>0.0</v>
      </c>
      <c r="D61" s="8">
        <v>0.0</v>
      </c>
      <c r="E61" s="8">
        <v>6.0</v>
      </c>
      <c r="F61" s="8">
        <v>5.0</v>
      </c>
      <c r="G61" s="7">
        <f t="shared" si="1"/>
        <v>11</v>
      </c>
      <c r="H61" s="7" t="s">
        <v>14</v>
      </c>
      <c r="I61" s="7" t="s">
        <v>14</v>
      </c>
      <c r="J61" s="13">
        <v>2.0</v>
      </c>
      <c r="K61" s="14" t="s">
        <v>14</v>
      </c>
      <c r="L61" s="13">
        <v>2.0</v>
      </c>
      <c r="Q61" s="9"/>
    </row>
    <row r="62">
      <c r="A62" s="7" t="s">
        <v>74</v>
      </c>
      <c r="B62" s="7" t="s">
        <v>14</v>
      </c>
      <c r="C62" s="7">
        <v>0.0</v>
      </c>
      <c r="D62" s="8">
        <v>15.0</v>
      </c>
      <c r="E62" s="8">
        <v>0.0</v>
      </c>
      <c r="F62" s="8">
        <v>0.0</v>
      </c>
      <c r="G62" s="7">
        <f t="shared" si="1"/>
        <v>15</v>
      </c>
      <c r="H62" s="7" t="s">
        <v>14</v>
      </c>
      <c r="I62" s="7" t="s">
        <v>14</v>
      </c>
      <c r="J62" s="13">
        <v>1.0</v>
      </c>
      <c r="K62" s="14" t="s">
        <v>14</v>
      </c>
      <c r="L62" s="13">
        <v>1.0</v>
      </c>
      <c r="Q62" s="9"/>
    </row>
    <row r="63">
      <c r="A63" s="7" t="s">
        <v>75</v>
      </c>
      <c r="B63" s="7" t="s">
        <v>14</v>
      </c>
      <c r="C63" s="16">
        <v>19.8</v>
      </c>
      <c r="D63" s="8">
        <v>15.0</v>
      </c>
      <c r="E63" s="8">
        <v>6.0</v>
      </c>
      <c r="F63" s="8">
        <v>20.0</v>
      </c>
      <c r="G63" s="7">
        <f t="shared" si="1"/>
        <v>60.8</v>
      </c>
      <c r="H63" s="7" t="s">
        <v>14</v>
      </c>
      <c r="I63" s="7" t="s">
        <v>14</v>
      </c>
      <c r="J63" s="13">
        <v>1.0</v>
      </c>
      <c r="K63" s="14" t="s">
        <v>14</v>
      </c>
      <c r="L63" s="13">
        <v>1.0</v>
      </c>
      <c r="N63" s="12"/>
      <c r="Q63" s="9"/>
    </row>
    <row r="64">
      <c r="A64" s="7" t="s">
        <v>76</v>
      </c>
      <c r="B64" s="7" t="s">
        <v>14</v>
      </c>
      <c r="C64" s="7">
        <v>17.9</v>
      </c>
      <c r="D64" s="8">
        <v>15.0</v>
      </c>
      <c r="E64" s="8">
        <v>9.0</v>
      </c>
      <c r="F64" s="8">
        <v>0.0</v>
      </c>
      <c r="G64" s="7">
        <f t="shared" si="1"/>
        <v>41.9</v>
      </c>
      <c r="H64" s="7" t="s">
        <v>14</v>
      </c>
      <c r="I64" s="7" t="s">
        <v>14</v>
      </c>
      <c r="J64" s="8">
        <v>1.0</v>
      </c>
      <c r="K64" s="7" t="s">
        <v>14</v>
      </c>
      <c r="L64" s="8">
        <v>1.0</v>
      </c>
      <c r="Q64" s="9"/>
    </row>
    <row r="65">
      <c r="A65" s="7" t="s">
        <v>77</v>
      </c>
      <c r="B65" s="15" t="s">
        <v>14</v>
      </c>
      <c r="C65" s="16">
        <v>8.0</v>
      </c>
      <c r="D65" s="8">
        <v>15.0</v>
      </c>
      <c r="E65" s="8">
        <v>10.5</v>
      </c>
      <c r="F65" s="8">
        <v>5.0</v>
      </c>
      <c r="G65" s="7">
        <f t="shared" si="1"/>
        <v>38.5</v>
      </c>
      <c r="H65" s="7" t="s">
        <v>14</v>
      </c>
      <c r="I65" s="7" t="s">
        <v>14</v>
      </c>
      <c r="J65" s="13">
        <v>1.0</v>
      </c>
      <c r="K65" s="14" t="s">
        <v>14</v>
      </c>
      <c r="L65" s="13">
        <v>0.0</v>
      </c>
      <c r="N65" s="12"/>
      <c r="Q65" s="9"/>
    </row>
    <row r="66">
      <c r="A66" s="7" t="s">
        <v>78</v>
      </c>
      <c r="B66" s="7" t="s">
        <v>14</v>
      </c>
      <c r="C66" s="13">
        <v>16.8</v>
      </c>
      <c r="D66" s="8">
        <v>15.0</v>
      </c>
      <c r="E66" s="8">
        <v>8.2</v>
      </c>
      <c r="F66" s="8">
        <v>20.0</v>
      </c>
      <c r="G66" s="7">
        <f t="shared" si="1"/>
        <v>60</v>
      </c>
      <c r="H66" s="7" t="s">
        <v>14</v>
      </c>
      <c r="I66" s="7" t="s">
        <v>14</v>
      </c>
      <c r="J66" s="13">
        <v>1.0</v>
      </c>
      <c r="K66" s="14" t="s">
        <v>14</v>
      </c>
      <c r="L66" s="13">
        <v>0.0</v>
      </c>
      <c r="N66" s="12"/>
      <c r="Q66" s="9"/>
    </row>
    <row r="67">
      <c r="A67" s="7" t="s">
        <v>79</v>
      </c>
      <c r="B67" s="7" t="s">
        <v>14</v>
      </c>
      <c r="C67" s="13">
        <v>0.0</v>
      </c>
      <c r="D67" s="8">
        <v>15.0</v>
      </c>
      <c r="E67" s="8">
        <v>9.0</v>
      </c>
      <c r="F67" s="8">
        <v>5.0</v>
      </c>
      <c r="G67" s="7">
        <f t="shared" si="1"/>
        <v>29</v>
      </c>
      <c r="H67" s="7" t="s">
        <v>14</v>
      </c>
      <c r="I67" s="7" t="s">
        <v>14</v>
      </c>
      <c r="J67" s="13">
        <v>1.0</v>
      </c>
      <c r="K67" s="14" t="s">
        <v>14</v>
      </c>
      <c r="L67" s="13">
        <v>0.0</v>
      </c>
      <c r="N67" s="17"/>
      <c r="Q67" s="9"/>
    </row>
    <row r="68">
      <c r="A68" s="7" t="s">
        <v>80</v>
      </c>
      <c r="B68" s="7" t="s">
        <v>14</v>
      </c>
      <c r="C68" s="13">
        <v>0.0</v>
      </c>
      <c r="D68" s="8">
        <v>0.0</v>
      </c>
      <c r="E68" s="8">
        <v>8.2</v>
      </c>
      <c r="F68" s="8">
        <v>5.0</v>
      </c>
      <c r="G68" s="7">
        <f t="shared" si="1"/>
        <v>13.2</v>
      </c>
      <c r="H68" s="7" t="s">
        <v>14</v>
      </c>
      <c r="I68" s="7" t="s">
        <v>14</v>
      </c>
      <c r="J68" s="13">
        <v>1.0</v>
      </c>
      <c r="K68" s="14" t="s">
        <v>14</v>
      </c>
      <c r="L68" s="13">
        <v>0.0</v>
      </c>
      <c r="N68" s="12"/>
      <c r="Q68" s="9"/>
    </row>
    <row r="69">
      <c r="A69" s="7" t="s">
        <v>81</v>
      </c>
      <c r="B69" s="7" t="s">
        <v>14</v>
      </c>
      <c r="C69" s="13">
        <v>0.0</v>
      </c>
      <c r="D69" s="8">
        <v>15.0</v>
      </c>
      <c r="E69" s="8">
        <v>11.2</v>
      </c>
      <c r="F69" s="8">
        <v>5.0</v>
      </c>
      <c r="G69" s="7">
        <f t="shared" si="1"/>
        <v>31.2</v>
      </c>
      <c r="H69" s="7" t="s">
        <v>14</v>
      </c>
      <c r="I69" s="7" t="s">
        <v>14</v>
      </c>
      <c r="J69" s="13">
        <v>1.0</v>
      </c>
      <c r="K69" s="14" t="s">
        <v>14</v>
      </c>
      <c r="L69" s="13">
        <v>1.0</v>
      </c>
      <c r="N69" s="12"/>
      <c r="Q69" s="9"/>
    </row>
    <row r="70">
      <c r="A70" s="7" t="s">
        <v>82</v>
      </c>
      <c r="B70" s="7" t="s">
        <v>14</v>
      </c>
      <c r="C70" s="8">
        <v>14.6</v>
      </c>
      <c r="D70" s="8">
        <v>15.0</v>
      </c>
      <c r="E70" s="8">
        <v>5.3</v>
      </c>
      <c r="F70" s="8">
        <v>5.0</v>
      </c>
      <c r="G70" s="7">
        <f t="shared" si="1"/>
        <v>39.9</v>
      </c>
      <c r="H70" s="7" t="s">
        <v>14</v>
      </c>
      <c r="I70" s="7" t="s">
        <v>14</v>
      </c>
      <c r="J70" s="13">
        <v>2.0</v>
      </c>
      <c r="K70" s="14" t="s">
        <v>14</v>
      </c>
      <c r="L70" s="13">
        <v>2.0</v>
      </c>
      <c r="Q70" s="9"/>
    </row>
    <row r="71">
      <c r="A71" s="7" t="s">
        <v>83</v>
      </c>
      <c r="B71" s="15" t="s">
        <v>14</v>
      </c>
      <c r="C71" s="7">
        <v>0.0</v>
      </c>
      <c r="D71" s="8">
        <v>0.0</v>
      </c>
      <c r="E71" s="8">
        <v>3.0</v>
      </c>
      <c r="F71" s="7">
        <v>5.0</v>
      </c>
      <c r="G71" s="7">
        <f t="shared" si="1"/>
        <v>8</v>
      </c>
      <c r="H71" s="7" t="s">
        <v>14</v>
      </c>
      <c r="I71" s="7" t="s">
        <v>14</v>
      </c>
      <c r="J71" s="13">
        <v>1.0</v>
      </c>
      <c r="K71" s="14" t="s">
        <v>14</v>
      </c>
      <c r="L71" s="13">
        <v>0.0</v>
      </c>
      <c r="Q71" s="9"/>
      <c r="R71" s="11"/>
    </row>
    <row r="72">
      <c r="A72" s="7" t="s">
        <v>84</v>
      </c>
      <c r="B72" s="7" t="s">
        <v>14</v>
      </c>
      <c r="C72" s="7">
        <v>0.0</v>
      </c>
      <c r="D72" s="8">
        <v>0.0</v>
      </c>
      <c r="E72" s="8">
        <v>3.8</v>
      </c>
      <c r="F72" s="8">
        <v>5.0</v>
      </c>
      <c r="G72" s="7">
        <f t="shared" si="1"/>
        <v>8.8</v>
      </c>
      <c r="H72" s="7" t="s">
        <v>14</v>
      </c>
      <c r="I72" s="7" t="s">
        <v>14</v>
      </c>
      <c r="J72" s="13">
        <v>2.0</v>
      </c>
      <c r="K72" s="14" t="s">
        <v>14</v>
      </c>
      <c r="L72" s="13">
        <v>0.0</v>
      </c>
      <c r="Q72" s="9"/>
    </row>
    <row r="73">
      <c r="A73" s="7" t="s">
        <v>85</v>
      </c>
      <c r="B73" s="7" t="s">
        <v>14</v>
      </c>
      <c r="C73" s="7">
        <v>0.0</v>
      </c>
      <c r="D73" s="8">
        <v>0.0</v>
      </c>
      <c r="E73" s="8">
        <v>0.0</v>
      </c>
      <c r="F73" s="8">
        <v>5.0</v>
      </c>
      <c r="G73" s="7">
        <f t="shared" si="1"/>
        <v>5</v>
      </c>
      <c r="H73" s="7" t="s">
        <v>14</v>
      </c>
      <c r="I73" s="7" t="s">
        <v>14</v>
      </c>
      <c r="J73" s="13">
        <v>1.0</v>
      </c>
      <c r="K73" s="14" t="s">
        <v>14</v>
      </c>
      <c r="L73" s="13">
        <v>0.0</v>
      </c>
      <c r="Q73" s="9"/>
      <c r="R73" s="11"/>
    </row>
    <row r="74">
      <c r="A74" s="7" t="s">
        <v>86</v>
      </c>
      <c r="B74" s="7" t="s">
        <v>14</v>
      </c>
      <c r="C74" s="7">
        <v>0.0</v>
      </c>
      <c r="D74" s="8">
        <v>15.0</v>
      </c>
      <c r="E74" s="8">
        <v>4.5</v>
      </c>
      <c r="F74" s="8">
        <v>5.0</v>
      </c>
      <c r="G74" s="7">
        <f t="shared" si="1"/>
        <v>24.5</v>
      </c>
      <c r="H74" s="7" t="s">
        <v>14</v>
      </c>
      <c r="I74" s="7" t="s">
        <v>14</v>
      </c>
      <c r="J74" s="13">
        <v>1.0</v>
      </c>
      <c r="K74" s="14" t="s">
        <v>14</v>
      </c>
      <c r="L74" s="13">
        <v>0.0</v>
      </c>
      <c r="Q74" s="9"/>
      <c r="R74" s="11"/>
    </row>
    <row r="75">
      <c r="A75" s="7" t="s">
        <v>87</v>
      </c>
      <c r="B75" s="7" t="s">
        <v>14</v>
      </c>
      <c r="C75" s="7">
        <v>0.0</v>
      </c>
      <c r="D75" s="8">
        <v>15.0</v>
      </c>
      <c r="E75" s="7">
        <v>0.0</v>
      </c>
      <c r="F75" s="8">
        <v>5.0</v>
      </c>
      <c r="G75" s="7">
        <f t="shared" si="1"/>
        <v>20</v>
      </c>
      <c r="H75" s="7" t="s">
        <v>14</v>
      </c>
      <c r="I75" s="7" t="s">
        <v>14</v>
      </c>
      <c r="J75" s="13">
        <v>1.0</v>
      </c>
      <c r="K75" s="14" t="s">
        <v>14</v>
      </c>
      <c r="L75" s="13">
        <v>1.0</v>
      </c>
      <c r="Q75" s="9"/>
      <c r="R75" s="11"/>
    </row>
    <row r="76">
      <c r="A76" s="7" t="s">
        <v>88</v>
      </c>
      <c r="B76" s="15" t="s">
        <v>14</v>
      </c>
      <c r="C76" s="7">
        <v>20.0</v>
      </c>
      <c r="D76" s="8">
        <v>0.0</v>
      </c>
      <c r="E76" s="7">
        <v>4.5</v>
      </c>
      <c r="F76" s="8">
        <v>35.0</v>
      </c>
      <c r="G76" s="7">
        <f t="shared" si="1"/>
        <v>59.5</v>
      </c>
      <c r="H76" s="7" t="s">
        <v>14</v>
      </c>
      <c r="I76" s="7" t="s">
        <v>14</v>
      </c>
      <c r="J76" s="8">
        <v>3.0</v>
      </c>
      <c r="K76" s="7" t="s">
        <v>14</v>
      </c>
      <c r="L76" s="8">
        <v>3.0</v>
      </c>
      <c r="Q76" s="9"/>
    </row>
    <row r="77">
      <c r="A77" s="7" t="s">
        <v>89</v>
      </c>
      <c r="B77" s="7" t="s">
        <v>14</v>
      </c>
      <c r="C77" s="7">
        <v>0.0</v>
      </c>
      <c r="D77" s="8">
        <v>0.0</v>
      </c>
      <c r="E77" s="8">
        <v>6.7</v>
      </c>
      <c r="F77" s="8">
        <v>5.0</v>
      </c>
      <c r="G77" s="7">
        <f t="shared" si="1"/>
        <v>11.7</v>
      </c>
      <c r="H77" s="7" t="s">
        <v>14</v>
      </c>
      <c r="I77" s="7" t="s">
        <v>14</v>
      </c>
      <c r="J77" s="13">
        <v>1.0</v>
      </c>
      <c r="K77" s="14" t="s">
        <v>14</v>
      </c>
      <c r="L77" s="13">
        <v>0.0</v>
      </c>
      <c r="Q77" s="9"/>
      <c r="R77" s="11"/>
    </row>
    <row r="78">
      <c r="A78" s="7" t="s">
        <v>90</v>
      </c>
      <c r="B78" s="7" t="s">
        <v>14</v>
      </c>
      <c r="C78" s="7">
        <v>0.0</v>
      </c>
      <c r="D78" s="8">
        <v>0.0</v>
      </c>
      <c r="E78" s="8">
        <v>10.5</v>
      </c>
      <c r="F78" s="8">
        <v>0.0</v>
      </c>
      <c r="G78" s="7">
        <f t="shared" si="1"/>
        <v>10.5</v>
      </c>
      <c r="H78" s="7" t="s">
        <v>14</v>
      </c>
      <c r="I78" s="7" t="s">
        <v>14</v>
      </c>
      <c r="J78" s="14">
        <v>0.0</v>
      </c>
      <c r="K78" s="14" t="s">
        <v>14</v>
      </c>
      <c r="L78" s="14">
        <v>1.0</v>
      </c>
      <c r="Q78" s="9"/>
    </row>
    <row r="79">
      <c r="A79" s="7" t="s">
        <v>91</v>
      </c>
      <c r="B79" s="7" t="s">
        <v>14</v>
      </c>
      <c r="C79" s="7">
        <v>0.0</v>
      </c>
      <c r="D79" s="8">
        <v>15.0</v>
      </c>
      <c r="E79" s="8">
        <v>8.2</v>
      </c>
      <c r="F79" s="8">
        <v>5.0</v>
      </c>
      <c r="G79" s="7">
        <f t="shared" si="1"/>
        <v>28.2</v>
      </c>
      <c r="H79" s="7" t="s">
        <v>14</v>
      </c>
      <c r="I79" s="7" t="s">
        <v>14</v>
      </c>
      <c r="J79" s="8">
        <v>2.0</v>
      </c>
      <c r="K79" s="7" t="s">
        <v>14</v>
      </c>
      <c r="L79" s="8">
        <v>2.0</v>
      </c>
      <c r="Q79" s="9"/>
    </row>
    <row r="80">
      <c r="A80" s="7" t="s">
        <v>92</v>
      </c>
      <c r="B80" s="7" t="s">
        <v>14</v>
      </c>
      <c r="C80" s="13">
        <v>0.0</v>
      </c>
      <c r="D80" s="8">
        <v>15.0</v>
      </c>
      <c r="E80" s="8">
        <v>12.0</v>
      </c>
      <c r="F80" s="8">
        <v>0.0</v>
      </c>
      <c r="G80" s="7">
        <f t="shared" si="1"/>
        <v>27</v>
      </c>
      <c r="H80" s="7" t="s">
        <v>14</v>
      </c>
      <c r="I80" s="7" t="s">
        <v>14</v>
      </c>
      <c r="J80" s="13">
        <v>1.0</v>
      </c>
      <c r="K80" s="14" t="s">
        <v>14</v>
      </c>
      <c r="L80" s="13">
        <v>0.0</v>
      </c>
      <c r="N80" s="12"/>
      <c r="Q80" s="9"/>
    </row>
    <row r="81">
      <c r="A81" s="7" t="s">
        <v>93</v>
      </c>
      <c r="B81" s="7" t="s">
        <v>14</v>
      </c>
      <c r="C81" s="13">
        <v>14.5</v>
      </c>
      <c r="D81" s="8">
        <v>15.0</v>
      </c>
      <c r="E81" s="8">
        <v>6.0</v>
      </c>
      <c r="F81" s="8">
        <v>5.0</v>
      </c>
      <c r="G81" s="7">
        <f t="shared" si="1"/>
        <v>40.5</v>
      </c>
      <c r="H81" s="7" t="s">
        <v>14</v>
      </c>
      <c r="I81" s="7" t="s">
        <v>14</v>
      </c>
      <c r="J81" s="13">
        <v>2.0</v>
      </c>
      <c r="K81" s="14" t="s">
        <v>14</v>
      </c>
      <c r="L81" s="13">
        <v>2.0</v>
      </c>
      <c r="N81" s="12"/>
      <c r="Q81" s="9"/>
      <c r="R81" s="11"/>
    </row>
    <row r="82">
      <c r="A82" s="7" t="s">
        <v>93</v>
      </c>
      <c r="B82" s="7" t="s">
        <v>14</v>
      </c>
      <c r="C82" s="8">
        <v>14.5</v>
      </c>
      <c r="D82" s="8">
        <v>15.0</v>
      </c>
      <c r="E82" s="8">
        <v>6.0</v>
      </c>
      <c r="F82" s="8">
        <v>5.0</v>
      </c>
      <c r="G82" s="7">
        <f t="shared" si="1"/>
        <v>40.5</v>
      </c>
      <c r="H82" s="7" t="s">
        <v>14</v>
      </c>
      <c r="I82" s="7" t="s">
        <v>14</v>
      </c>
      <c r="J82" s="14">
        <v>2.0</v>
      </c>
      <c r="K82" s="14" t="s">
        <v>14</v>
      </c>
      <c r="L82" s="14">
        <v>0.0</v>
      </c>
      <c r="Q82" s="9"/>
    </row>
    <row r="83">
      <c r="A83" s="7" t="s">
        <v>94</v>
      </c>
      <c r="B83" s="15" t="s">
        <v>14</v>
      </c>
      <c r="C83" s="7">
        <v>0.0</v>
      </c>
      <c r="D83" s="8">
        <v>15.0</v>
      </c>
      <c r="E83" s="8">
        <v>0.0</v>
      </c>
      <c r="F83" s="8">
        <v>0.0</v>
      </c>
      <c r="G83" s="7">
        <f t="shared" si="1"/>
        <v>15</v>
      </c>
      <c r="H83" s="7" t="s">
        <v>14</v>
      </c>
      <c r="I83" s="7" t="s">
        <v>14</v>
      </c>
      <c r="J83" s="13">
        <v>1.0</v>
      </c>
      <c r="K83" s="14" t="s">
        <v>14</v>
      </c>
      <c r="L83" s="13">
        <v>0.0</v>
      </c>
      <c r="Q83" s="9"/>
    </row>
    <row r="84">
      <c r="A84" s="7" t="s">
        <v>95</v>
      </c>
      <c r="B84" s="7" t="s">
        <v>14</v>
      </c>
      <c r="C84" s="7">
        <v>16.4</v>
      </c>
      <c r="D84" s="8">
        <v>15.0</v>
      </c>
      <c r="E84" s="8">
        <v>6.0</v>
      </c>
      <c r="F84" s="8">
        <v>0.0</v>
      </c>
      <c r="G84" s="7">
        <f t="shared" si="1"/>
        <v>37.4</v>
      </c>
      <c r="H84" s="7" t="s">
        <v>14</v>
      </c>
      <c r="I84" s="7" t="s">
        <v>14</v>
      </c>
      <c r="J84" s="13">
        <v>1.0</v>
      </c>
      <c r="K84" s="14" t="s">
        <v>14</v>
      </c>
      <c r="L84" s="13">
        <v>0.0</v>
      </c>
      <c r="Q84" s="9"/>
    </row>
    <row r="85">
      <c r="A85" s="7" t="s">
        <v>96</v>
      </c>
      <c r="B85" s="7" t="s">
        <v>14</v>
      </c>
      <c r="C85" s="13">
        <v>0.0</v>
      </c>
      <c r="D85" s="8">
        <v>0.0</v>
      </c>
      <c r="E85" s="7">
        <v>7.5</v>
      </c>
      <c r="F85" s="8">
        <v>5.0</v>
      </c>
      <c r="G85" s="7">
        <f t="shared" si="1"/>
        <v>12.5</v>
      </c>
      <c r="H85" s="7" t="s">
        <v>14</v>
      </c>
      <c r="I85" s="7" t="s">
        <v>14</v>
      </c>
      <c r="J85" s="13">
        <v>1.0</v>
      </c>
      <c r="K85" s="14" t="s">
        <v>14</v>
      </c>
      <c r="L85" s="13">
        <v>1.0</v>
      </c>
      <c r="N85" s="12"/>
      <c r="Q85" s="9"/>
      <c r="R85" s="11"/>
    </row>
    <row r="86">
      <c r="A86" s="7" t="s">
        <v>97</v>
      </c>
      <c r="B86" s="15" t="s">
        <v>14</v>
      </c>
      <c r="C86" s="13">
        <v>0.0</v>
      </c>
      <c r="D86" s="8">
        <v>15.0</v>
      </c>
      <c r="E86" s="8">
        <v>9.0</v>
      </c>
      <c r="F86" s="8">
        <v>0.0</v>
      </c>
      <c r="G86" s="7">
        <f t="shared" si="1"/>
        <v>24</v>
      </c>
      <c r="H86" s="7" t="s">
        <v>14</v>
      </c>
      <c r="I86" s="7" t="s">
        <v>14</v>
      </c>
      <c r="J86" s="13">
        <v>1.0</v>
      </c>
      <c r="K86" s="14" t="s">
        <v>14</v>
      </c>
      <c r="L86" s="13">
        <v>0.0</v>
      </c>
      <c r="N86" s="12"/>
      <c r="Q86" s="9"/>
      <c r="R86" s="11"/>
    </row>
    <row r="87">
      <c r="A87" s="7" t="s">
        <v>98</v>
      </c>
      <c r="B87" s="15" t="s">
        <v>14</v>
      </c>
      <c r="C87" s="18">
        <v>15.4</v>
      </c>
      <c r="D87" s="8">
        <v>15.0</v>
      </c>
      <c r="E87" s="8">
        <v>6.7</v>
      </c>
      <c r="F87" s="8">
        <v>5.0</v>
      </c>
      <c r="G87" s="19">
        <f t="shared" si="1"/>
        <v>42.1</v>
      </c>
      <c r="H87" s="7" t="s">
        <v>14</v>
      </c>
      <c r="I87" s="7" t="s">
        <v>14</v>
      </c>
      <c r="J87" s="13">
        <v>1.0</v>
      </c>
      <c r="K87" s="14" t="s">
        <v>14</v>
      </c>
      <c r="L87" s="13">
        <v>1.0</v>
      </c>
      <c r="N87" s="12"/>
      <c r="Q87" s="9"/>
      <c r="R87" s="11"/>
    </row>
    <row r="88">
      <c r="A88" s="7" t="s">
        <v>99</v>
      </c>
      <c r="B88" s="7" t="s">
        <v>14</v>
      </c>
      <c r="C88" s="8">
        <v>15.8</v>
      </c>
      <c r="D88" s="8">
        <v>0.0</v>
      </c>
      <c r="E88" s="8">
        <v>4.5</v>
      </c>
      <c r="F88" s="8">
        <v>5.0</v>
      </c>
      <c r="G88" s="7">
        <f t="shared" si="1"/>
        <v>25.3</v>
      </c>
      <c r="H88" s="7" t="s">
        <v>14</v>
      </c>
      <c r="I88" s="7" t="s">
        <v>14</v>
      </c>
      <c r="J88" s="13">
        <v>1.0</v>
      </c>
      <c r="K88" s="14" t="s">
        <v>14</v>
      </c>
      <c r="L88" s="13">
        <v>0.0</v>
      </c>
      <c r="Q88" s="9"/>
    </row>
    <row r="89">
      <c r="A89" s="7" t="s">
        <v>100</v>
      </c>
      <c r="B89" s="7" t="s">
        <v>14</v>
      </c>
      <c r="C89" s="7">
        <v>0.0</v>
      </c>
      <c r="D89" s="8">
        <v>15.0</v>
      </c>
      <c r="E89" s="8">
        <v>10.5</v>
      </c>
      <c r="F89" s="8">
        <v>15.0</v>
      </c>
      <c r="G89" s="7">
        <f t="shared" si="1"/>
        <v>40.5</v>
      </c>
      <c r="H89" s="7" t="s">
        <v>14</v>
      </c>
      <c r="I89" s="7" t="s">
        <v>14</v>
      </c>
      <c r="J89" s="13">
        <v>2.0</v>
      </c>
      <c r="K89" s="14" t="s">
        <v>14</v>
      </c>
      <c r="L89" s="13">
        <v>2.0</v>
      </c>
      <c r="Q89" s="9"/>
    </row>
    <row r="90">
      <c r="A90" s="7" t="s">
        <v>101</v>
      </c>
      <c r="B90" s="15" t="s">
        <v>14</v>
      </c>
      <c r="C90" s="16">
        <v>10.0</v>
      </c>
      <c r="D90" s="8">
        <v>15.0</v>
      </c>
      <c r="E90" s="8">
        <v>3.0</v>
      </c>
      <c r="F90" s="8">
        <v>5.0</v>
      </c>
      <c r="G90" s="7">
        <f t="shared" si="1"/>
        <v>33</v>
      </c>
      <c r="H90" s="7" t="s">
        <v>14</v>
      </c>
      <c r="I90" s="7" t="s">
        <v>14</v>
      </c>
      <c r="J90" s="13">
        <v>1.0</v>
      </c>
      <c r="K90" s="14" t="s">
        <v>14</v>
      </c>
      <c r="L90" s="13">
        <v>1.0</v>
      </c>
      <c r="N90" s="12"/>
      <c r="Q90" s="9"/>
      <c r="R90" s="11"/>
    </row>
    <row r="91">
      <c r="A91" s="7" t="s">
        <v>102</v>
      </c>
      <c r="B91" s="7" t="s">
        <v>14</v>
      </c>
      <c r="C91" s="7">
        <v>0.0</v>
      </c>
      <c r="D91" s="8">
        <v>0.0</v>
      </c>
      <c r="E91" s="8">
        <v>2.2</v>
      </c>
      <c r="F91" s="8">
        <v>5.0</v>
      </c>
      <c r="G91" s="7">
        <f t="shared" si="1"/>
        <v>7.2</v>
      </c>
      <c r="H91" s="7" t="s">
        <v>14</v>
      </c>
      <c r="I91" s="7" t="s">
        <v>14</v>
      </c>
      <c r="J91" s="13">
        <v>1.0</v>
      </c>
      <c r="K91" s="14" t="s">
        <v>14</v>
      </c>
      <c r="L91" s="13">
        <v>0.0</v>
      </c>
      <c r="Q91" s="9"/>
    </row>
    <row r="92">
      <c r="A92" s="7" t="s">
        <v>103</v>
      </c>
      <c r="B92" s="7" t="s">
        <v>14</v>
      </c>
      <c r="C92" s="7">
        <v>17.2</v>
      </c>
      <c r="D92" s="8">
        <v>0.0</v>
      </c>
      <c r="E92" s="8">
        <v>3.8</v>
      </c>
      <c r="F92" s="8">
        <v>5.0</v>
      </c>
      <c r="G92" s="7">
        <f t="shared" si="1"/>
        <v>26</v>
      </c>
      <c r="H92" s="7" t="s">
        <v>14</v>
      </c>
      <c r="I92" s="7" t="s">
        <v>14</v>
      </c>
      <c r="J92" s="13">
        <v>1.0</v>
      </c>
      <c r="K92" s="14" t="s">
        <v>14</v>
      </c>
      <c r="L92" s="13">
        <v>0.0</v>
      </c>
      <c r="Q92" s="9"/>
      <c r="R92" s="11"/>
    </row>
    <row r="93">
      <c r="A93" s="7" t="s">
        <v>104</v>
      </c>
      <c r="B93" s="7" t="s">
        <v>14</v>
      </c>
      <c r="C93" s="13">
        <v>0.0</v>
      </c>
      <c r="D93" s="8">
        <v>0.0</v>
      </c>
      <c r="E93" s="8">
        <v>0.0</v>
      </c>
      <c r="F93" s="8">
        <v>5.0</v>
      </c>
      <c r="G93" s="7">
        <f t="shared" si="1"/>
        <v>5</v>
      </c>
      <c r="H93" s="7" t="s">
        <v>14</v>
      </c>
      <c r="I93" s="7" t="s">
        <v>14</v>
      </c>
      <c r="J93" s="13">
        <v>0.0</v>
      </c>
      <c r="K93" s="14" t="s">
        <v>14</v>
      </c>
      <c r="L93" s="13">
        <v>1.0</v>
      </c>
      <c r="N93" s="12"/>
      <c r="Q93" s="9"/>
      <c r="R93" s="11"/>
    </row>
    <row r="94">
      <c r="A94" s="7" t="s">
        <v>105</v>
      </c>
      <c r="B94" s="7" t="s">
        <v>14</v>
      </c>
      <c r="C94" s="7">
        <v>0.0</v>
      </c>
      <c r="D94" s="8">
        <v>15.0</v>
      </c>
      <c r="E94" s="8">
        <v>4.5</v>
      </c>
      <c r="F94" s="8">
        <v>5.0</v>
      </c>
      <c r="G94" s="7">
        <f t="shared" si="1"/>
        <v>24.5</v>
      </c>
      <c r="H94" s="7" t="s">
        <v>14</v>
      </c>
      <c r="I94" s="7" t="s">
        <v>14</v>
      </c>
      <c r="J94" s="13">
        <v>1.0</v>
      </c>
      <c r="K94" s="14" t="s">
        <v>14</v>
      </c>
      <c r="L94" s="13">
        <v>0.0</v>
      </c>
      <c r="Q94" s="9"/>
    </row>
    <row r="95">
      <c r="A95" s="7" t="s">
        <v>106</v>
      </c>
      <c r="B95" s="15" t="s">
        <v>14</v>
      </c>
      <c r="C95" s="13">
        <v>11.7</v>
      </c>
      <c r="D95" s="8">
        <v>0.0</v>
      </c>
      <c r="E95" s="8">
        <v>6.0</v>
      </c>
      <c r="F95" s="8">
        <v>5.0</v>
      </c>
      <c r="G95" s="7">
        <f t="shared" si="1"/>
        <v>22.7</v>
      </c>
      <c r="H95" s="7" t="s">
        <v>14</v>
      </c>
      <c r="I95" s="7" t="s">
        <v>14</v>
      </c>
      <c r="J95" s="13">
        <v>1.0</v>
      </c>
      <c r="K95" s="14" t="s">
        <v>14</v>
      </c>
      <c r="L95" s="13">
        <v>1.0</v>
      </c>
      <c r="N95" s="12"/>
      <c r="Q95" s="9"/>
      <c r="R95" s="11"/>
    </row>
    <row r="96">
      <c r="A96" s="7" t="s">
        <v>107</v>
      </c>
      <c r="B96" s="7" t="s">
        <v>14</v>
      </c>
      <c r="C96" s="8">
        <v>8.9</v>
      </c>
      <c r="D96" s="8">
        <v>15.0</v>
      </c>
      <c r="E96" s="8">
        <v>0.0</v>
      </c>
      <c r="F96" s="8">
        <v>5.0</v>
      </c>
      <c r="G96" s="7">
        <f t="shared" si="1"/>
        <v>28.9</v>
      </c>
      <c r="H96" s="7" t="s">
        <v>14</v>
      </c>
      <c r="I96" s="7" t="s">
        <v>14</v>
      </c>
      <c r="J96" s="14">
        <v>0.0</v>
      </c>
      <c r="K96" s="14" t="s">
        <v>14</v>
      </c>
      <c r="L96" s="14">
        <v>1.0</v>
      </c>
      <c r="Q96" s="9"/>
    </row>
    <row r="97">
      <c r="A97" s="7" t="s">
        <v>108</v>
      </c>
      <c r="B97" s="7" t="s">
        <v>14</v>
      </c>
      <c r="C97" s="7">
        <v>0.0</v>
      </c>
      <c r="D97" s="8">
        <v>15.0</v>
      </c>
      <c r="E97" s="8">
        <v>4.5</v>
      </c>
      <c r="F97" s="8">
        <v>5.0</v>
      </c>
      <c r="G97" s="7">
        <f t="shared" si="1"/>
        <v>24.5</v>
      </c>
      <c r="H97" s="7" t="s">
        <v>14</v>
      </c>
      <c r="I97" s="7" t="s">
        <v>14</v>
      </c>
      <c r="J97" s="14">
        <v>1.0</v>
      </c>
      <c r="K97" s="14" t="s">
        <v>14</v>
      </c>
      <c r="L97" s="14">
        <v>1.0</v>
      </c>
      <c r="Q97" s="9"/>
    </row>
    <row r="98">
      <c r="A98" s="7" t="s">
        <v>109</v>
      </c>
      <c r="B98" s="7" t="s">
        <v>14</v>
      </c>
      <c r="C98" s="13">
        <v>0.0</v>
      </c>
      <c r="D98" s="8">
        <v>15.0</v>
      </c>
      <c r="E98" s="8">
        <v>10.5</v>
      </c>
      <c r="F98" s="8">
        <v>5.0</v>
      </c>
      <c r="G98" s="7">
        <f t="shared" si="1"/>
        <v>30.5</v>
      </c>
      <c r="H98" s="7" t="s">
        <v>14</v>
      </c>
      <c r="I98" s="7" t="s">
        <v>14</v>
      </c>
      <c r="J98" s="13">
        <v>1.0</v>
      </c>
      <c r="K98" s="14" t="s">
        <v>14</v>
      </c>
      <c r="L98" s="13">
        <v>1.0</v>
      </c>
      <c r="N98" s="12"/>
      <c r="Q98" s="9"/>
      <c r="R98" s="11"/>
    </row>
    <row r="99">
      <c r="A99" s="7" t="s">
        <v>110</v>
      </c>
      <c r="B99" s="7" t="s">
        <v>14</v>
      </c>
      <c r="C99" s="7">
        <v>0.0</v>
      </c>
      <c r="D99" s="8">
        <v>15.0</v>
      </c>
      <c r="E99" s="8">
        <v>9.7</v>
      </c>
      <c r="F99" s="8">
        <v>5.0</v>
      </c>
      <c r="G99" s="7">
        <f t="shared" si="1"/>
        <v>29.7</v>
      </c>
      <c r="H99" s="7" t="s">
        <v>14</v>
      </c>
      <c r="I99" s="7" t="s">
        <v>14</v>
      </c>
      <c r="J99" s="14">
        <v>2.0</v>
      </c>
      <c r="K99" s="14" t="s">
        <v>14</v>
      </c>
      <c r="L99" s="14">
        <v>2.0</v>
      </c>
      <c r="N99" s="20"/>
      <c r="Q99" s="9"/>
    </row>
    <row r="100">
      <c r="A100" s="7" t="s">
        <v>111</v>
      </c>
      <c r="B100" s="15" t="s">
        <v>14</v>
      </c>
      <c r="C100" s="7">
        <v>15.7</v>
      </c>
      <c r="D100" s="8">
        <v>15.0</v>
      </c>
      <c r="E100" s="7">
        <v>5.3</v>
      </c>
      <c r="F100" s="8">
        <v>30.0</v>
      </c>
      <c r="G100" s="7">
        <f t="shared" si="1"/>
        <v>66</v>
      </c>
      <c r="H100" s="7" t="s">
        <v>14</v>
      </c>
      <c r="I100" s="7" t="s">
        <v>14</v>
      </c>
      <c r="J100" s="13">
        <v>2.0</v>
      </c>
      <c r="K100" s="14" t="s">
        <v>14</v>
      </c>
      <c r="L100" s="13">
        <v>2.0</v>
      </c>
      <c r="Q100" s="9"/>
    </row>
    <row r="101">
      <c r="A101" s="7" t="s">
        <v>112</v>
      </c>
      <c r="B101" s="7" t="s">
        <v>14</v>
      </c>
      <c r="C101" s="13">
        <v>0.0</v>
      </c>
      <c r="D101" s="8">
        <v>0.0</v>
      </c>
      <c r="E101" s="8">
        <v>8.2</v>
      </c>
      <c r="F101" s="8">
        <v>5.0</v>
      </c>
      <c r="G101" s="7">
        <f t="shared" si="1"/>
        <v>13.2</v>
      </c>
      <c r="H101" s="7" t="s">
        <v>14</v>
      </c>
      <c r="I101" s="7" t="s">
        <v>14</v>
      </c>
      <c r="J101" s="13">
        <v>2.0</v>
      </c>
      <c r="K101" s="14" t="s">
        <v>14</v>
      </c>
      <c r="L101" s="13">
        <v>0.0</v>
      </c>
      <c r="N101" s="12"/>
      <c r="Q101" s="9"/>
      <c r="R101" s="11"/>
    </row>
    <row r="102">
      <c r="A102" s="7" t="s">
        <v>113</v>
      </c>
      <c r="B102" s="7" t="s">
        <v>14</v>
      </c>
      <c r="C102" s="13">
        <v>0.0</v>
      </c>
      <c r="D102" s="8">
        <v>0.0</v>
      </c>
      <c r="E102" s="21">
        <v>6.0</v>
      </c>
      <c r="F102" s="8">
        <v>5.0</v>
      </c>
      <c r="G102" s="7">
        <f t="shared" si="1"/>
        <v>11</v>
      </c>
      <c r="H102" s="7" t="s">
        <v>14</v>
      </c>
      <c r="I102" s="7" t="s">
        <v>14</v>
      </c>
      <c r="J102" s="13">
        <v>1.0</v>
      </c>
      <c r="K102" s="14" t="s">
        <v>14</v>
      </c>
      <c r="L102" s="13">
        <v>1.0</v>
      </c>
      <c r="N102" s="12"/>
      <c r="Q102" s="9"/>
      <c r="R102" s="11"/>
    </row>
    <row r="103">
      <c r="A103" s="7" t="s">
        <v>114</v>
      </c>
      <c r="B103" s="15" t="s">
        <v>14</v>
      </c>
      <c r="C103" s="7">
        <v>0.0</v>
      </c>
      <c r="D103" s="8">
        <v>15.0</v>
      </c>
      <c r="E103" s="8">
        <v>0.0</v>
      </c>
      <c r="F103" s="8">
        <v>5.0</v>
      </c>
      <c r="G103" s="7">
        <f t="shared" si="1"/>
        <v>20</v>
      </c>
      <c r="H103" s="7" t="s">
        <v>14</v>
      </c>
      <c r="I103" s="7" t="s">
        <v>14</v>
      </c>
      <c r="J103" s="13">
        <v>1.0</v>
      </c>
      <c r="K103" s="14" t="s">
        <v>14</v>
      </c>
      <c r="L103" s="13">
        <v>0.0</v>
      </c>
      <c r="Q103" s="9"/>
      <c r="R103" s="11"/>
    </row>
    <row r="104">
      <c r="A104" s="7" t="s">
        <v>115</v>
      </c>
      <c r="B104" s="7" t="s">
        <v>14</v>
      </c>
      <c r="C104" s="7">
        <v>0.0</v>
      </c>
      <c r="D104" s="8">
        <v>15.0</v>
      </c>
      <c r="E104" s="8">
        <v>8.2</v>
      </c>
      <c r="F104" s="8">
        <v>5.0</v>
      </c>
      <c r="G104" s="7">
        <f t="shared" si="1"/>
        <v>28.2</v>
      </c>
      <c r="H104" s="7" t="s">
        <v>14</v>
      </c>
      <c r="I104" s="7" t="s">
        <v>14</v>
      </c>
      <c r="J104" s="13">
        <v>2.0</v>
      </c>
      <c r="K104" s="14" t="s">
        <v>14</v>
      </c>
      <c r="L104" s="13">
        <v>2.0</v>
      </c>
      <c r="Q104" s="9"/>
    </row>
    <row r="105">
      <c r="A105" s="7" t="s">
        <v>116</v>
      </c>
      <c r="B105" s="7" t="s">
        <v>14</v>
      </c>
      <c r="C105" s="13">
        <v>15.6</v>
      </c>
      <c r="D105" s="8">
        <v>0.0</v>
      </c>
      <c r="E105" s="8">
        <v>4.5</v>
      </c>
      <c r="F105" s="8">
        <v>0.0</v>
      </c>
      <c r="G105" s="7">
        <f t="shared" si="1"/>
        <v>20.1</v>
      </c>
      <c r="H105" s="7" t="s">
        <v>14</v>
      </c>
      <c r="I105" s="7" t="s">
        <v>14</v>
      </c>
      <c r="J105" s="13">
        <v>1.0</v>
      </c>
      <c r="K105" s="14" t="s">
        <v>14</v>
      </c>
      <c r="L105" s="13">
        <v>0.0</v>
      </c>
      <c r="N105" s="12"/>
      <c r="Q105" s="9"/>
      <c r="R105" s="11"/>
    </row>
    <row r="106">
      <c r="A106" s="7" t="s">
        <v>117</v>
      </c>
      <c r="B106" s="7" t="s">
        <v>14</v>
      </c>
      <c r="C106" s="8">
        <v>15.1</v>
      </c>
      <c r="D106" s="8">
        <v>15.0</v>
      </c>
      <c r="E106" s="8">
        <v>9.7</v>
      </c>
      <c r="F106" s="8">
        <v>5.0</v>
      </c>
      <c r="G106" s="7">
        <f t="shared" si="1"/>
        <v>44.8</v>
      </c>
      <c r="H106" s="7" t="s">
        <v>14</v>
      </c>
      <c r="I106" s="7" t="s">
        <v>14</v>
      </c>
      <c r="J106" s="13">
        <v>1.0</v>
      </c>
      <c r="K106" s="14" t="s">
        <v>14</v>
      </c>
      <c r="L106" s="13">
        <v>1.0</v>
      </c>
      <c r="Q106" s="9"/>
      <c r="R106" s="11"/>
    </row>
    <row r="107">
      <c r="A107" s="7" t="s">
        <v>118</v>
      </c>
      <c r="B107" s="15" t="s">
        <v>14</v>
      </c>
      <c r="C107" s="7">
        <v>16.2</v>
      </c>
      <c r="D107" s="8">
        <v>15.0</v>
      </c>
      <c r="E107" s="8">
        <v>7.5</v>
      </c>
      <c r="F107" s="8">
        <v>10.0</v>
      </c>
      <c r="G107" s="7">
        <f t="shared" si="1"/>
        <v>48.7</v>
      </c>
      <c r="H107" s="7" t="s">
        <v>14</v>
      </c>
      <c r="I107" s="7" t="s">
        <v>14</v>
      </c>
      <c r="J107" s="13">
        <v>3.0</v>
      </c>
      <c r="K107" s="14" t="s">
        <v>14</v>
      </c>
      <c r="L107" s="13">
        <v>0.0</v>
      </c>
      <c r="Q107" s="9"/>
      <c r="R107" s="11"/>
    </row>
    <row r="108">
      <c r="A108" s="7" t="s">
        <v>119</v>
      </c>
      <c r="B108" s="15" t="s">
        <v>14</v>
      </c>
      <c r="C108" s="7">
        <v>0.0</v>
      </c>
      <c r="D108" s="8">
        <v>15.0</v>
      </c>
      <c r="E108" s="8">
        <v>1.5</v>
      </c>
      <c r="F108" s="8">
        <v>5.0</v>
      </c>
      <c r="G108" s="7">
        <f t="shared" si="1"/>
        <v>21.5</v>
      </c>
      <c r="H108" s="7" t="s">
        <v>14</v>
      </c>
      <c r="I108" s="7" t="s">
        <v>14</v>
      </c>
      <c r="J108" s="13">
        <v>1.0</v>
      </c>
      <c r="K108" s="14" t="s">
        <v>14</v>
      </c>
      <c r="L108" s="13">
        <v>0.0</v>
      </c>
      <c r="Q108" s="9"/>
      <c r="R108" s="11"/>
    </row>
    <row r="109">
      <c r="A109" s="7" t="s">
        <v>120</v>
      </c>
      <c r="B109" s="7" t="s">
        <v>14</v>
      </c>
      <c r="C109" s="7">
        <v>0.0</v>
      </c>
      <c r="D109" s="8">
        <v>15.0</v>
      </c>
      <c r="E109" s="8">
        <v>5.3</v>
      </c>
      <c r="F109" s="8">
        <v>0.0</v>
      </c>
      <c r="G109" s="7">
        <f t="shared" si="1"/>
        <v>20.3</v>
      </c>
      <c r="H109" s="7" t="s">
        <v>14</v>
      </c>
      <c r="I109" s="7" t="s">
        <v>14</v>
      </c>
      <c r="J109" s="13">
        <v>1.0</v>
      </c>
      <c r="K109" s="14" t="s">
        <v>14</v>
      </c>
      <c r="L109" s="13">
        <v>0.0</v>
      </c>
      <c r="Q109" s="9"/>
    </row>
    <row r="110">
      <c r="A110" s="7" t="s">
        <v>121</v>
      </c>
      <c r="B110" s="7" t="s">
        <v>14</v>
      </c>
      <c r="C110" s="7">
        <v>0.0</v>
      </c>
      <c r="D110" s="8">
        <v>15.0</v>
      </c>
      <c r="E110" s="8">
        <v>10.5</v>
      </c>
      <c r="F110" s="8">
        <v>5.0</v>
      </c>
      <c r="G110" s="7">
        <f t="shared" si="1"/>
        <v>30.5</v>
      </c>
      <c r="H110" s="7" t="s">
        <v>14</v>
      </c>
      <c r="I110" s="7" t="s">
        <v>14</v>
      </c>
      <c r="J110" s="13">
        <v>1.0</v>
      </c>
      <c r="K110" s="14" t="s">
        <v>14</v>
      </c>
      <c r="L110" s="13">
        <v>0.0</v>
      </c>
      <c r="Q110" s="9"/>
    </row>
    <row r="111">
      <c r="A111" s="7" t="s">
        <v>122</v>
      </c>
      <c r="B111" s="7" t="s">
        <v>14</v>
      </c>
      <c r="C111" s="7">
        <v>0.0</v>
      </c>
      <c r="D111" s="8">
        <v>15.0</v>
      </c>
      <c r="E111" s="8">
        <v>7.5</v>
      </c>
      <c r="F111" s="8">
        <v>5.0</v>
      </c>
      <c r="G111" s="7">
        <f t="shared" si="1"/>
        <v>27.5</v>
      </c>
      <c r="H111" s="7" t="s">
        <v>14</v>
      </c>
      <c r="I111" s="7" t="s">
        <v>14</v>
      </c>
      <c r="J111" s="13">
        <v>2.0</v>
      </c>
      <c r="K111" s="14" t="s">
        <v>14</v>
      </c>
      <c r="L111" s="13">
        <v>2.0</v>
      </c>
      <c r="N111" s="12"/>
      <c r="Q111" s="9"/>
    </row>
    <row r="112">
      <c r="A112" s="7" t="s">
        <v>123</v>
      </c>
      <c r="B112" s="15" t="s">
        <v>14</v>
      </c>
      <c r="C112" s="7">
        <v>0.0</v>
      </c>
      <c r="D112" s="8">
        <v>0.0</v>
      </c>
      <c r="E112" s="8">
        <v>5.3</v>
      </c>
      <c r="F112" s="8">
        <v>5.0</v>
      </c>
      <c r="G112" s="7">
        <f t="shared" si="1"/>
        <v>10.3</v>
      </c>
      <c r="H112" s="7" t="s">
        <v>14</v>
      </c>
      <c r="I112" s="7" t="s">
        <v>14</v>
      </c>
      <c r="J112" s="13">
        <v>1.0</v>
      </c>
      <c r="K112" s="14" t="s">
        <v>14</v>
      </c>
      <c r="L112" s="13">
        <v>0.0</v>
      </c>
      <c r="N112" s="12"/>
      <c r="Q112" s="9"/>
      <c r="R112" s="11"/>
    </row>
    <row r="113">
      <c r="A113" s="7" t="s">
        <v>124</v>
      </c>
      <c r="B113" s="15" t="s">
        <v>14</v>
      </c>
      <c r="C113" s="7">
        <v>0.0</v>
      </c>
      <c r="D113" s="8">
        <v>15.0</v>
      </c>
      <c r="E113" s="8">
        <v>9.0</v>
      </c>
      <c r="F113" s="8">
        <v>5.0</v>
      </c>
      <c r="G113" s="7">
        <f t="shared" si="1"/>
        <v>29</v>
      </c>
      <c r="H113" s="7" t="s">
        <v>14</v>
      </c>
      <c r="I113" s="7" t="s">
        <v>14</v>
      </c>
      <c r="J113" s="13">
        <v>1.0</v>
      </c>
      <c r="K113" s="14" t="s">
        <v>14</v>
      </c>
      <c r="L113" s="13">
        <v>0.0</v>
      </c>
      <c r="Q113" s="9"/>
    </row>
    <row r="114">
      <c r="A114" s="7" t="s">
        <v>125</v>
      </c>
      <c r="B114" s="7" t="s">
        <v>14</v>
      </c>
      <c r="C114" s="7">
        <v>0.0</v>
      </c>
      <c r="D114" s="8">
        <v>15.0</v>
      </c>
      <c r="E114" s="8">
        <v>0.0</v>
      </c>
      <c r="F114" s="8">
        <v>5.0</v>
      </c>
      <c r="G114" s="7">
        <f t="shared" si="1"/>
        <v>20</v>
      </c>
      <c r="H114" s="7" t="s">
        <v>14</v>
      </c>
      <c r="I114" s="7" t="s">
        <v>14</v>
      </c>
      <c r="J114" s="14">
        <v>4.0</v>
      </c>
      <c r="K114" s="14" t="s">
        <v>14</v>
      </c>
      <c r="L114" s="14">
        <v>4.0</v>
      </c>
      <c r="Q114" s="9"/>
      <c r="R114" s="11"/>
    </row>
    <row r="115">
      <c r="A115" s="7" t="s">
        <v>126</v>
      </c>
      <c r="B115" s="15" t="s">
        <v>14</v>
      </c>
      <c r="C115" s="8">
        <v>11.4</v>
      </c>
      <c r="D115" s="8">
        <v>15.0</v>
      </c>
      <c r="E115" s="8">
        <v>4.5</v>
      </c>
      <c r="F115" s="8">
        <v>5.0</v>
      </c>
      <c r="G115" s="7">
        <f t="shared" si="1"/>
        <v>35.9</v>
      </c>
      <c r="H115" s="7" t="s">
        <v>14</v>
      </c>
      <c r="I115" s="7" t="s">
        <v>14</v>
      </c>
      <c r="J115" s="13">
        <v>1.0</v>
      </c>
      <c r="K115" s="14" t="s">
        <v>14</v>
      </c>
      <c r="L115" s="13">
        <v>0.0</v>
      </c>
      <c r="Q115" s="9"/>
    </row>
    <row r="116">
      <c r="A116" s="7" t="s">
        <v>127</v>
      </c>
      <c r="B116" s="7" t="s">
        <v>14</v>
      </c>
      <c r="C116" s="7">
        <v>0.0</v>
      </c>
      <c r="D116" s="8">
        <v>15.0</v>
      </c>
      <c r="E116" s="8">
        <v>9.0</v>
      </c>
      <c r="F116" s="8">
        <v>0.0</v>
      </c>
      <c r="G116" s="7">
        <f t="shared" si="1"/>
        <v>24</v>
      </c>
      <c r="H116" s="7" t="s">
        <v>14</v>
      </c>
      <c r="I116" s="7" t="s">
        <v>14</v>
      </c>
      <c r="J116" s="13">
        <v>1.0</v>
      </c>
      <c r="K116" s="14" t="s">
        <v>14</v>
      </c>
      <c r="L116" s="13">
        <v>0.0</v>
      </c>
      <c r="Q116" s="9"/>
    </row>
    <row r="117">
      <c r="A117" s="7" t="s">
        <v>128</v>
      </c>
      <c r="B117" s="7" t="s">
        <v>14</v>
      </c>
      <c r="C117" s="13">
        <v>20.0</v>
      </c>
      <c r="D117" s="8">
        <v>15.0</v>
      </c>
      <c r="E117" s="8">
        <v>5.3</v>
      </c>
      <c r="F117" s="8">
        <v>5.0</v>
      </c>
      <c r="G117" s="7">
        <f t="shared" si="1"/>
        <v>45.3</v>
      </c>
      <c r="H117" s="7" t="s">
        <v>14</v>
      </c>
      <c r="I117" s="7" t="s">
        <v>14</v>
      </c>
      <c r="J117" s="13">
        <v>1.0</v>
      </c>
      <c r="K117" s="14" t="s">
        <v>14</v>
      </c>
      <c r="L117" s="13">
        <v>0.0</v>
      </c>
      <c r="N117" s="12"/>
      <c r="Q117" s="9"/>
    </row>
    <row r="118">
      <c r="A118" s="7" t="s">
        <v>129</v>
      </c>
      <c r="B118" s="7" t="s">
        <v>14</v>
      </c>
      <c r="C118" s="7">
        <v>0.0</v>
      </c>
      <c r="D118" s="8">
        <v>15.0</v>
      </c>
      <c r="E118" s="8">
        <v>5.3</v>
      </c>
      <c r="F118" s="8">
        <v>5.0</v>
      </c>
      <c r="G118" s="7">
        <f t="shared" si="1"/>
        <v>25.3</v>
      </c>
      <c r="H118" s="7" t="s">
        <v>14</v>
      </c>
      <c r="I118" s="7" t="s">
        <v>14</v>
      </c>
      <c r="J118" s="13">
        <v>2.0</v>
      </c>
      <c r="K118" s="14" t="s">
        <v>14</v>
      </c>
      <c r="L118" s="13">
        <v>2.0</v>
      </c>
      <c r="Q118" s="9"/>
    </row>
    <row r="119">
      <c r="A119" s="7" t="s">
        <v>130</v>
      </c>
      <c r="B119" s="7" t="s">
        <v>14</v>
      </c>
      <c r="C119" s="18">
        <v>0.0</v>
      </c>
      <c r="D119" s="8">
        <v>15.0</v>
      </c>
      <c r="E119" s="8">
        <v>3.8</v>
      </c>
      <c r="F119" s="8">
        <v>5.0</v>
      </c>
      <c r="G119" s="19">
        <f t="shared" si="1"/>
        <v>23.8</v>
      </c>
      <c r="H119" s="7" t="s">
        <v>14</v>
      </c>
      <c r="I119" s="7" t="s">
        <v>14</v>
      </c>
      <c r="J119" s="13">
        <v>1.0</v>
      </c>
      <c r="K119" s="14" t="s">
        <v>14</v>
      </c>
      <c r="L119" s="13">
        <v>1.0</v>
      </c>
      <c r="N119" s="12"/>
      <c r="Q119" s="9"/>
    </row>
    <row r="120">
      <c r="A120" s="7" t="s">
        <v>131</v>
      </c>
      <c r="B120" s="7" t="s">
        <v>14</v>
      </c>
      <c r="C120" s="13">
        <v>0.0</v>
      </c>
      <c r="D120" s="8">
        <v>0.0</v>
      </c>
      <c r="E120" s="8">
        <v>7.5</v>
      </c>
      <c r="F120" s="8">
        <v>5.0</v>
      </c>
      <c r="G120" s="7">
        <f t="shared" si="1"/>
        <v>12.5</v>
      </c>
      <c r="H120" s="7" t="s">
        <v>14</v>
      </c>
      <c r="I120" s="7" t="s">
        <v>14</v>
      </c>
      <c r="J120" s="13">
        <v>1.0</v>
      </c>
      <c r="K120" s="14" t="s">
        <v>14</v>
      </c>
      <c r="L120" s="13">
        <v>1.0</v>
      </c>
      <c r="N120" s="12"/>
      <c r="Q120" s="9"/>
      <c r="R120" s="11"/>
    </row>
    <row r="121">
      <c r="A121" s="7" t="s">
        <v>132</v>
      </c>
      <c r="B121" s="15" t="s">
        <v>14</v>
      </c>
      <c r="C121" s="7">
        <v>0.0</v>
      </c>
      <c r="D121" s="8">
        <v>15.0</v>
      </c>
      <c r="E121" s="8">
        <v>10.5</v>
      </c>
      <c r="F121" s="8">
        <v>5.0</v>
      </c>
      <c r="G121" s="7">
        <f t="shared" si="1"/>
        <v>30.5</v>
      </c>
      <c r="H121" s="7" t="s">
        <v>14</v>
      </c>
      <c r="I121" s="7" t="s">
        <v>14</v>
      </c>
      <c r="J121" s="13">
        <v>1.0</v>
      </c>
      <c r="K121" s="14" t="s">
        <v>14</v>
      </c>
      <c r="L121" s="13">
        <v>0.0</v>
      </c>
      <c r="Q121" s="9"/>
      <c r="R121" s="11"/>
    </row>
    <row r="122">
      <c r="A122" s="7" t="s">
        <v>133</v>
      </c>
      <c r="B122" s="7" t="s">
        <v>14</v>
      </c>
      <c r="C122" s="7">
        <v>0.0</v>
      </c>
      <c r="D122" s="8">
        <v>15.0</v>
      </c>
      <c r="E122" s="8">
        <v>0.0</v>
      </c>
      <c r="F122" s="8">
        <v>0.0</v>
      </c>
      <c r="G122" s="7">
        <f t="shared" si="1"/>
        <v>15</v>
      </c>
      <c r="H122" s="7" t="s">
        <v>14</v>
      </c>
      <c r="I122" s="7" t="s">
        <v>14</v>
      </c>
      <c r="J122" s="13">
        <v>1.0</v>
      </c>
      <c r="K122" s="14" t="s">
        <v>14</v>
      </c>
      <c r="L122" s="13">
        <v>0.0</v>
      </c>
      <c r="Q122" s="9"/>
    </row>
    <row r="123">
      <c r="A123" s="7" t="s">
        <v>134</v>
      </c>
      <c r="B123" s="7" t="s">
        <v>14</v>
      </c>
      <c r="C123" s="13">
        <v>19.4</v>
      </c>
      <c r="D123" s="8">
        <v>15.0</v>
      </c>
      <c r="E123" s="8">
        <v>8.2</v>
      </c>
      <c r="F123" s="8">
        <v>5.0</v>
      </c>
      <c r="G123" s="7">
        <f t="shared" si="1"/>
        <v>47.6</v>
      </c>
      <c r="H123" s="7" t="s">
        <v>14</v>
      </c>
      <c r="I123" s="7" t="s">
        <v>14</v>
      </c>
      <c r="J123" s="13">
        <v>1.0</v>
      </c>
      <c r="K123" s="14" t="s">
        <v>14</v>
      </c>
      <c r="L123" s="13">
        <v>1.0</v>
      </c>
      <c r="N123" s="12"/>
      <c r="Q123" s="9"/>
      <c r="R123" s="11"/>
    </row>
    <row r="124">
      <c r="A124" s="7" t="s">
        <v>135</v>
      </c>
      <c r="B124" s="15" t="s">
        <v>14</v>
      </c>
      <c r="C124" s="13">
        <v>0.0</v>
      </c>
      <c r="D124" s="8">
        <v>15.0</v>
      </c>
      <c r="E124" s="8">
        <v>5.3</v>
      </c>
      <c r="F124" s="8">
        <v>0.0</v>
      </c>
      <c r="G124" s="7">
        <f t="shared" si="1"/>
        <v>20.3</v>
      </c>
      <c r="H124" s="7" t="s">
        <v>14</v>
      </c>
      <c r="I124" s="7" t="s">
        <v>14</v>
      </c>
      <c r="J124" s="14">
        <v>2.0</v>
      </c>
      <c r="K124" s="14" t="s">
        <v>14</v>
      </c>
      <c r="L124" s="14">
        <v>0.0</v>
      </c>
      <c r="N124" s="12"/>
      <c r="Q124" s="9"/>
    </row>
    <row r="125">
      <c r="A125" s="7" t="s">
        <v>136</v>
      </c>
      <c r="B125" s="7" t="s">
        <v>14</v>
      </c>
      <c r="C125" s="13">
        <v>0.0</v>
      </c>
      <c r="D125" s="8">
        <v>0.0</v>
      </c>
      <c r="E125" s="8">
        <v>1.5</v>
      </c>
      <c r="F125" s="8">
        <v>5.0</v>
      </c>
      <c r="G125" s="7">
        <f t="shared" si="1"/>
        <v>6.5</v>
      </c>
      <c r="H125" s="7" t="s">
        <v>14</v>
      </c>
      <c r="I125" s="7" t="s">
        <v>14</v>
      </c>
      <c r="J125" s="13">
        <v>1.0</v>
      </c>
      <c r="K125" s="14" t="s">
        <v>14</v>
      </c>
      <c r="L125" s="13">
        <v>0.0</v>
      </c>
      <c r="N125" s="12"/>
      <c r="Q125" s="9"/>
      <c r="R125" s="11"/>
    </row>
    <row r="126">
      <c r="A126" s="7" t="s">
        <v>137</v>
      </c>
      <c r="B126" s="15" t="s">
        <v>14</v>
      </c>
      <c r="C126" s="13">
        <v>0.0</v>
      </c>
      <c r="D126" s="8">
        <v>15.0</v>
      </c>
      <c r="E126" s="8">
        <v>7.5</v>
      </c>
      <c r="F126" s="8">
        <v>0.0</v>
      </c>
      <c r="G126" s="7">
        <f t="shared" si="1"/>
        <v>22.5</v>
      </c>
      <c r="H126" s="7" t="s">
        <v>14</v>
      </c>
      <c r="I126" s="7" t="s">
        <v>14</v>
      </c>
      <c r="J126" s="13">
        <v>1.0</v>
      </c>
      <c r="K126" s="14" t="s">
        <v>14</v>
      </c>
      <c r="L126" s="13">
        <v>1.0</v>
      </c>
      <c r="Q126" s="9"/>
      <c r="R126" s="11"/>
    </row>
    <row r="127">
      <c r="A127" s="7" t="s">
        <v>138</v>
      </c>
      <c r="B127" s="7" t="s">
        <v>14</v>
      </c>
      <c r="C127" s="13">
        <v>0.0</v>
      </c>
      <c r="D127" s="8">
        <v>15.0</v>
      </c>
      <c r="E127" s="8">
        <v>0.0</v>
      </c>
      <c r="F127" s="8">
        <v>5.0</v>
      </c>
      <c r="G127" s="7">
        <f t="shared" si="1"/>
        <v>20</v>
      </c>
      <c r="H127" s="7" t="s">
        <v>14</v>
      </c>
      <c r="I127" s="7" t="s">
        <v>14</v>
      </c>
      <c r="J127" s="13">
        <v>1.0</v>
      </c>
      <c r="K127" s="14" t="s">
        <v>14</v>
      </c>
      <c r="L127" s="13">
        <v>0.0</v>
      </c>
      <c r="Q127" s="9"/>
      <c r="R127" s="11"/>
    </row>
    <row r="128">
      <c r="A128" s="7" t="s">
        <v>139</v>
      </c>
      <c r="B128" s="7" t="s">
        <v>14</v>
      </c>
      <c r="C128" s="13">
        <v>0.0</v>
      </c>
      <c r="D128" s="8">
        <v>0.0</v>
      </c>
      <c r="E128" s="8">
        <v>6.0</v>
      </c>
      <c r="F128" s="8">
        <v>15.0</v>
      </c>
      <c r="G128" s="7">
        <f t="shared" si="1"/>
        <v>21</v>
      </c>
      <c r="H128" s="7" t="s">
        <v>14</v>
      </c>
      <c r="I128" s="7" t="s">
        <v>14</v>
      </c>
      <c r="J128" s="13">
        <v>2.0</v>
      </c>
      <c r="K128" s="14" t="s">
        <v>14</v>
      </c>
      <c r="L128" s="13">
        <v>2.0</v>
      </c>
      <c r="N128" s="12"/>
      <c r="Q128" s="9"/>
      <c r="R128" s="11"/>
    </row>
    <row r="129">
      <c r="A129" s="7" t="s">
        <v>140</v>
      </c>
      <c r="B129" s="7" t="s">
        <v>14</v>
      </c>
      <c r="C129" s="13">
        <v>0.0</v>
      </c>
      <c r="D129" s="8">
        <v>15.0</v>
      </c>
      <c r="E129" s="8">
        <v>6.0</v>
      </c>
      <c r="F129" s="8">
        <v>0.0</v>
      </c>
      <c r="G129" s="7">
        <f t="shared" si="1"/>
        <v>21</v>
      </c>
      <c r="H129" s="7" t="s">
        <v>14</v>
      </c>
      <c r="I129" s="7" t="s">
        <v>14</v>
      </c>
      <c r="J129" s="13">
        <v>2.0</v>
      </c>
      <c r="K129" s="14" t="s">
        <v>14</v>
      </c>
      <c r="L129" s="13">
        <v>2.0</v>
      </c>
      <c r="N129" s="12"/>
      <c r="O129" s="4"/>
      <c r="P129" s="4"/>
      <c r="Q129" s="5"/>
      <c r="R129" s="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7" t="s">
        <v>141</v>
      </c>
      <c r="B130" s="7" t="s">
        <v>14</v>
      </c>
      <c r="C130" s="13">
        <v>0.0</v>
      </c>
      <c r="D130" s="8">
        <v>15.0</v>
      </c>
      <c r="E130" s="8">
        <v>0.0</v>
      </c>
      <c r="F130" s="8">
        <v>0.0</v>
      </c>
      <c r="G130" s="7">
        <f t="shared" si="1"/>
        <v>15</v>
      </c>
      <c r="H130" s="7" t="s">
        <v>14</v>
      </c>
      <c r="I130" s="7" t="s">
        <v>14</v>
      </c>
      <c r="J130" s="14">
        <v>1.0</v>
      </c>
      <c r="K130" s="14" t="s">
        <v>14</v>
      </c>
      <c r="L130" s="14">
        <v>0.0</v>
      </c>
      <c r="Q130" s="9"/>
    </row>
    <row r="131">
      <c r="A131" s="7" t="s">
        <v>142</v>
      </c>
      <c r="B131" s="7" t="s">
        <v>14</v>
      </c>
      <c r="C131" s="13">
        <v>0.0</v>
      </c>
      <c r="D131" s="8">
        <v>0.0</v>
      </c>
      <c r="E131" s="8">
        <v>8.2</v>
      </c>
      <c r="F131" s="8">
        <v>5.0</v>
      </c>
      <c r="G131" s="7">
        <f t="shared" si="1"/>
        <v>13.2</v>
      </c>
      <c r="H131" s="7" t="s">
        <v>14</v>
      </c>
      <c r="I131" s="7" t="s">
        <v>14</v>
      </c>
      <c r="J131" s="13">
        <v>1.0</v>
      </c>
      <c r="K131" s="14" t="s">
        <v>14</v>
      </c>
      <c r="L131" s="13">
        <v>0.0</v>
      </c>
      <c r="N131" s="12"/>
      <c r="Q131" s="9"/>
      <c r="R131" s="11"/>
    </row>
    <row r="132">
      <c r="A132" s="7" t="s">
        <v>143</v>
      </c>
      <c r="B132" s="7" t="s">
        <v>14</v>
      </c>
      <c r="C132" s="13">
        <v>0.0</v>
      </c>
      <c r="D132" s="8">
        <v>0.0</v>
      </c>
      <c r="E132" s="8">
        <v>5.3</v>
      </c>
      <c r="F132" s="8">
        <v>5.0</v>
      </c>
      <c r="G132" s="7">
        <f t="shared" si="1"/>
        <v>10.3</v>
      </c>
      <c r="H132" s="7" t="s">
        <v>14</v>
      </c>
      <c r="I132" s="7" t="s">
        <v>14</v>
      </c>
      <c r="J132" s="13">
        <v>1.0</v>
      </c>
      <c r="K132" s="14" t="s">
        <v>14</v>
      </c>
      <c r="L132" s="13">
        <v>0.0</v>
      </c>
      <c r="N132" s="12"/>
      <c r="Q132" s="9"/>
      <c r="R132" s="11"/>
    </row>
    <row r="133">
      <c r="A133" s="7" t="s">
        <v>144</v>
      </c>
      <c r="B133" s="7" t="s">
        <v>14</v>
      </c>
      <c r="C133" s="13">
        <v>0.0</v>
      </c>
      <c r="D133" s="8">
        <v>0.0</v>
      </c>
      <c r="E133" s="8">
        <v>0.0</v>
      </c>
      <c r="F133" s="8">
        <v>5.0</v>
      </c>
      <c r="G133" s="7">
        <f t="shared" si="1"/>
        <v>5</v>
      </c>
      <c r="H133" s="7" t="s">
        <v>14</v>
      </c>
      <c r="I133" s="7" t="s">
        <v>14</v>
      </c>
      <c r="J133" s="8">
        <v>2.0</v>
      </c>
      <c r="K133" s="7" t="s">
        <v>14</v>
      </c>
      <c r="L133" s="8">
        <v>2.0</v>
      </c>
      <c r="N133" s="12"/>
      <c r="Q133" s="11"/>
    </row>
    <row r="134">
      <c r="A134" s="7" t="s">
        <v>145</v>
      </c>
      <c r="B134" s="7" t="s">
        <v>14</v>
      </c>
      <c r="C134" s="7">
        <v>15.6</v>
      </c>
      <c r="D134" s="8">
        <v>0.0</v>
      </c>
      <c r="E134" s="8">
        <v>0.0</v>
      </c>
      <c r="F134" s="8">
        <v>5.0</v>
      </c>
      <c r="G134" s="7">
        <f t="shared" si="1"/>
        <v>20.6</v>
      </c>
      <c r="H134" s="7" t="s">
        <v>14</v>
      </c>
      <c r="I134" s="7" t="s">
        <v>14</v>
      </c>
      <c r="J134" s="8">
        <v>3.0</v>
      </c>
      <c r="K134" s="7" t="s">
        <v>14</v>
      </c>
      <c r="L134" s="8">
        <v>3.0</v>
      </c>
      <c r="Q134" s="9"/>
    </row>
    <row r="135">
      <c r="A135" s="7" t="s">
        <v>146</v>
      </c>
      <c r="B135" s="15" t="s">
        <v>14</v>
      </c>
      <c r="C135" s="13">
        <v>0.0</v>
      </c>
      <c r="D135" s="8">
        <v>15.0</v>
      </c>
      <c r="E135" s="8">
        <v>1.5</v>
      </c>
      <c r="F135" s="8">
        <v>5.0</v>
      </c>
      <c r="G135" s="7">
        <f t="shared" si="1"/>
        <v>21.5</v>
      </c>
      <c r="H135" s="7" t="s">
        <v>14</v>
      </c>
      <c r="I135" s="7" t="s">
        <v>14</v>
      </c>
      <c r="J135" s="13">
        <v>1.0</v>
      </c>
      <c r="K135" s="14" t="s">
        <v>14</v>
      </c>
      <c r="L135" s="13">
        <v>0.0</v>
      </c>
      <c r="N135" s="12"/>
      <c r="Q135" s="9"/>
      <c r="R135" s="11"/>
    </row>
    <row r="136">
      <c r="A136" s="7" t="s">
        <v>147</v>
      </c>
      <c r="B136" s="7" t="s">
        <v>14</v>
      </c>
      <c r="C136" s="7">
        <v>0.0</v>
      </c>
      <c r="D136" s="8">
        <v>15.0</v>
      </c>
      <c r="E136" s="8">
        <v>10.5</v>
      </c>
      <c r="F136" s="8">
        <v>5.0</v>
      </c>
      <c r="G136" s="7">
        <f t="shared" si="1"/>
        <v>30.5</v>
      </c>
      <c r="H136" s="7" t="s">
        <v>14</v>
      </c>
      <c r="I136" s="7" t="s">
        <v>14</v>
      </c>
      <c r="J136" s="13">
        <v>1.0</v>
      </c>
      <c r="K136" s="14" t="s">
        <v>14</v>
      </c>
      <c r="L136" s="13">
        <v>0.0</v>
      </c>
      <c r="Q136" s="9"/>
    </row>
    <row r="137">
      <c r="A137" s="7" t="s">
        <v>148</v>
      </c>
      <c r="B137" s="7" t="s">
        <v>14</v>
      </c>
      <c r="C137" s="7">
        <v>0.0</v>
      </c>
      <c r="D137" s="8">
        <v>15.0</v>
      </c>
      <c r="E137" s="8">
        <v>5.3</v>
      </c>
      <c r="F137" s="8">
        <v>5.0</v>
      </c>
      <c r="G137" s="7">
        <f t="shared" si="1"/>
        <v>25.3</v>
      </c>
      <c r="H137" s="7" t="s">
        <v>14</v>
      </c>
      <c r="I137" s="7" t="s">
        <v>14</v>
      </c>
      <c r="J137" s="13">
        <v>1.0</v>
      </c>
      <c r="K137" s="14" t="s">
        <v>14</v>
      </c>
      <c r="L137" s="13">
        <v>0.0</v>
      </c>
      <c r="Q137" s="9"/>
      <c r="R137" s="11"/>
    </row>
    <row r="138">
      <c r="A138" s="7" t="s">
        <v>149</v>
      </c>
      <c r="B138" s="15" t="s">
        <v>14</v>
      </c>
      <c r="C138" s="13">
        <v>0.0</v>
      </c>
      <c r="D138" s="8">
        <v>0.0</v>
      </c>
      <c r="E138" s="8">
        <v>0.0</v>
      </c>
      <c r="F138" s="8">
        <v>5.0</v>
      </c>
      <c r="G138" s="7">
        <f t="shared" si="1"/>
        <v>5</v>
      </c>
      <c r="H138" s="7" t="s">
        <v>14</v>
      </c>
      <c r="I138" s="7" t="s">
        <v>14</v>
      </c>
      <c r="J138" s="13">
        <v>0.0</v>
      </c>
      <c r="K138" s="14" t="s">
        <v>14</v>
      </c>
      <c r="L138" s="13">
        <v>1.0</v>
      </c>
      <c r="N138" s="12"/>
      <c r="Q138" s="9"/>
    </row>
    <row r="139">
      <c r="A139" s="7" t="s">
        <v>150</v>
      </c>
      <c r="B139" s="7" t="s">
        <v>14</v>
      </c>
      <c r="C139" s="7">
        <v>16.3</v>
      </c>
      <c r="D139" s="8">
        <v>15.0</v>
      </c>
      <c r="E139" s="8">
        <v>4.5</v>
      </c>
      <c r="F139" s="8">
        <v>5.0</v>
      </c>
      <c r="G139" s="7">
        <f t="shared" si="1"/>
        <v>40.8</v>
      </c>
      <c r="H139" s="7" t="s">
        <v>14</v>
      </c>
      <c r="I139" s="7" t="s">
        <v>14</v>
      </c>
      <c r="J139" s="13">
        <v>0.0</v>
      </c>
      <c r="K139" s="14" t="s">
        <v>14</v>
      </c>
      <c r="L139" s="13">
        <v>1.0</v>
      </c>
      <c r="Q139" s="9"/>
    </row>
    <row r="140">
      <c r="A140" s="7" t="s">
        <v>151</v>
      </c>
      <c r="B140" s="7" t="s">
        <v>14</v>
      </c>
      <c r="C140" s="13">
        <v>0.0</v>
      </c>
      <c r="D140" s="8">
        <v>0.0</v>
      </c>
      <c r="E140" s="8">
        <v>9.0</v>
      </c>
      <c r="F140" s="8">
        <v>15.0</v>
      </c>
      <c r="G140" s="7">
        <f t="shared" si="1"/>
        <v>24</v>
      </c>
      <c r="H140" s="7" t="s">
        <v>14</v>
      </c>
      <c r="I140" s="7" t="s">
        <v>14</v>
      </c>
      <c r="J140" s="13">
        <v>0.0</v>
      </c>
      <c r="K140" s="14" t="s">
        <v>14</v>
      </c>
      <c r="L140" s="13">
        <v>2.0</v>
      </c>
      <c r="N140" s="12"/>
      <c r="Q140" s="9"/>
      <c r="R140" s="11"/>
    </row>
    <row r="141">
      <c r="A141" s="7" t="s">
        <v>152</v>
      </c>
      <c r="B141" s="15" t="s">
        <v>14</v>
      </c>
      <c r="C141" s="13">
        <v>0.0</v>
      </c>
      <c r="D141" s="8">
        <v>15.0</v>
      </c>
      <c r="E141" s="8">
        <v>8.2</v>
      </c>
      <c r="F141" s="8">
        <v>5.0</v>
      </c>
      <c r="G141" s="7">
        <f t="shared" si="1"/>
        <v>28.2</v>
      </c>
      <c r="H141" s="7" t="s">
        <v>14</v>
      </c>
      <c r="I141" s="7" t="s">
        <v>14</v>
      </c>
      <c r="J141" s="8">
        <v>1.0</v>
      </c>
      <c r="K141" s="7" t="s">
        <v>14</v>
      </c>
      <c r="L141" s="8">
        <v>0.0</v>
      </c>
      <c r="N141" s="12"/>
      <c r="Q141" s="11"/>
    </row>
    <row r="142">
      <c r="A142" s="7" t="s">
        <v>153</v>
      </c>
      <c r="B142" s="15" t="s">
        <v>14</v>
      </c>
      <c r="C142" s="13">
        <v>0.0</v>
      </c>
      <c r="D142" s="8">
        <v>15.0</v>
      </c>
      <c r="E142" s="8">
        <v>10.5</v>
      </c>
      <c r="F142" s="8">
        <v>0.0</v>
      </c>
      <c r="G142" s="7">
        <f t="shared" si="1"/>
        <v>25.5</v>
      </c>
      <c r="H142" s="7" t="s">
        <v>14</v>
      </c>
      <c r="I142" s="7" t="s">
        <v>14</v>
      </c>
      <c r="J142" s="13">
        <v>1.0</v>
      </c>
      <c r="K142" s="14" t="s">
        <v>14</v>
      </c>
      <c r="L142" s="13">
        <v>0.0</v>
      </c>
      <c r="Q142" s="9"/>
    </row>
    <row r="143">
      <c r="A143" s="7" t="s">
        <v>154</v>
      </c>
      <c r="B143" s="7" t="s">
        <v>14</v>
      </c>
      <c r="C143" s="13">
        <v>0.0</v>
      </c>
      <c r="D143" s="8">
        <v>15.0</v>
      </c>
      <c r="E143" s="8">
        <v>8.2</v>
      </c>
      <c r="F143" s="8">
        <v>5.0</v>
      </c>
      <c r="G143" s="7">
        <f t="shared" si="1"/>
        <v>28.2</v>
      </c>
      <c r="H143" s="7" t="s">
        <v>14</v>
      </c>
      <c r="I143" s="7" t="s">
        <v>14</v>
      </c>
      <c r="J143" s="13">
        <v>1.0</v>
      </c>
      <c r="K143" s="14" t="s">
        <v>14</v>
      </c>
      <c r="L143" s="13">
        <v>1.0</v>
      </c>
      <c r="Q143" s="9"/>
    </row>
    <row r="144">
      <c r="A144" s="7" t="s">
        <v>155</v>
      </c>
      <c r="B144" s="7" t="s">
        <v>14</v>
      </c>
      <c r="C144" s="13">
        <v>0.0</v>
      </c>
      <c r="D144" s="8">
        <v>15.0</v>
      </c>
      <c r="E144" s="8">
        <v>4.5</v>
      </c>
      <c r="F144" s="7">
        <v>5.0</v>
      </c>
      <c r="G144" s="7">
        <f t="shared" si="1"/>
        <v>24.5</v>
      </c>
      <c r="H144" s="7" t="s">
        <v>14</v>
      </c>
      <c r="I144" s="7" t="s">
        <v>14</v>
      </c>
      <c r="J144" s="13">
        <v>1.0</v>
      </c>
      <c r="K144" s="14" t="s">
        <v>14</v>
      </c>
      <c r="L144" s="13">
        <v>0.0</v>
      </c>
      <c r="Q144" s="9"/>
      <c r="R144" s="11"/>
    </row>
    <row r="145">
      <c r="A145" s="7" t="s">
        <v>156</v>
      </c>
      <c r="B145" s="7" t="s">
        <v>14</v>
      </c>
      <c r="C145" s="13">
        <v>0.0</v>
      </c>
      <c r="D145" s="8">
        <v>15.0</v>
      </c>
      <c r="E145" s="8">
        <v>2.2</v>
      </c>
      <c r="F145" s="8">
        <v>0.0</v>
      </c>
      <c r="G145" s="7">
        <f t="shared" si="1"/>
        <v>17.2</v>
      </c>
      <c r="H145" s="7" t="s">
        <v>14</v>
      </c>
      <c r="I145" s="7" t="s">
        <v>14</v>
      </c>
      <c r="J145" s="14">
        <v>0.0</v>
      </c>
      <c r="K145" s="14" t="s">
        <v>14</v>
      </c>
      <c r="L145" s="14">
        <v>1.0</v>
      </c>
      <c r="N145" s="12"/>
      <c r="Q145" s="9"/>
    </row>
    <row r="146">
      <c r="A146" s="7" t="s">
        <v>157</v>
      </c>
      <c r="B146" s="7" t="s">
        <v>14</v>
      </c>
      <c r="C146" s="13">
        <v>0.0</v>
      </c>
      <c r="D146" s="8">
        <v>15.0</v>
      </c>
      <c r="E146" s="8">
        <v>8.2</v>
      </c>
      <c r="F146" s="8">
        <v>15.0</v>
      </c>
      <c r="G146" s="7">
        <f t="shared" si="1"/>
        <v>38.2</v>
      </c>
      <c r="H146" s="7" t="s">
        <v>14</v>
      </c>
      <c r="I146" s="7" t="s">
        <v>14</v>
      </c>
      <c r="J146" s="13">
        <v>1.0</v>
      </c>
      <c r="K146" s="14" t="s">
        <v>14</v>
      </c>
      <c r="L146" s="13">
        <v>1.0</v>
      </c>
      <c r="N146" s="12"/>
      <c r="Q146" s="9"/>
      <c r="R146" s="11"/>
    </row>
    <row r="147">
      <c r="A147" s="7" t="s">
        <v>158</v>
      </c>
      <c r="B147" s="15" t="s">
        <v>14</v>
      </c>
      <c r="C147" s="13">
        <v>0.0</v>
      </c>
      <c r="D147" s="8">
        <v>15.0</v>
      </c>
      <c r="E147" s="8">
        <v>3.8</v>
      </c>
      <c r="F147" s="8">
        <v>5.0</v>
      </c>
      <c r="G147" s="7">
        <f t="shared" si="1"/>
        <v>23.8</v>
      </c>
      <c r="H147" s="7" t="s">
        <v>14</v>
      </c>
      <c r="I147" s="7" t="s">
        <v>14</v>
      </c>
      <c r="J147" s="13">
        <v>1.0</v>
      </c>
      <c r="K147" s="14" t="s">
        <v>14</v>
      </c>
      <c r="L147" s="13">
        <v>1.0</v>
      </c>
      <c r="N147" s="12"/>
      <c r="Q147" s="9"/>
      <c r="R147" s="11"/>
    </row>
    <row r="148">
      <c r="A148" s="7" t="s">
        <v>159</v>
      </c>
      <c r="B148" s="7" t="s">
        <v>14</v>
      </c>
      <c r="C148" s="13">
        <v>0.0</v>
      </c>
      <c r="D148" s="8">
        <v>15.0</v>
      </c>
      <c r="E148" s="8">
        <v>5.3</v>
      </c>
      <c r="F148" s="8">
        <v>5.0</v>
      </c>
      <c r="G148" s="7">
        <f t="shared" si="1"/>
        <v>25.3</v>
      </c>
      <c r="H148" s="7" t="s">
        <v>14</v>
      </c>
      <c r="I148" s="7" t="s">
        <v>14</v>
      </c>
      <c r="J148" s="13">
        <v>0.0</v>
      </c>
      <c r="K148" s="14" t="s">
        <v>14</v>
      </c>
      <c r="L148" s="13">
        <v>1.0</v>
      </c>
      <c r="Q148" s="9"/>
      <c r="R148" s="11"/>
    </row>
    <row r="149">
      <c r="A149" s="7" t="s">
        <v>160</v>
      </c>
      <c r="B149" s="15" t="s">
        <v>14</v>
      </c>
      <c r="C149" s="8">
        <v>16.6</v>
      </c>
      <c r="D149" s="8">
        <v>0.0</v>
      </c>
      <c r="E149" s="8">
        <v>6.7</v>
      </c>
      <c r="F149" s="8">
        <v>15.0</v>
      </c>
      <c r="G149" s="7">
        <f t="shared" si="1"/>
        <v>38.3</v>
      </c>
      <c r="H149" s="7" t="s">
        <v>14</v>
      </c>
      <c r="I149" s="7" t="s">
        <v>14</v>
      </c>
      <c r="J149" s="13">
        <v>2.0</v>
      </c>
      <c r="K149" s="14" t="s">
        <v>14</v>
      </c>
      <c r="L149" s="13">
        <v>2.0</v>
      </c>
      <c r="Q149" s="9"/>
    </row>
    <row r="150">
      <c r="A150" s="7" t="s">
        <v>161</v>
      </c>
      <c r="B150" s="7" t="s">
        <v>14</v>
      </c>
      <c r="C150" s="13">
        <v>0.0</v>
      </c>
      <c r="D150" s="8">
        <v>15.0</v>
      </c>
      <c r="E150" s="8">
        <v>5.3</v>
      </c>
      <c r="F150" s="8">
        <v>20.0</v>
      </c>
      <c r="G150" s="7">
        <f t="shared" si="1"/>
        <v>40.3</v>
      </c>
      <c r="H150" s="7" t="s">
        <v>14</v>
      </c>
      <c r="I150" s="7" t="s">
        <v>14</v>
      </c>
      <c r="J150" s="13">
        <v>1.0</v>
      </c>
      <c r="K150" s="14" t="s">
        <v>14</v>
      </c>
      <c r="L150" s="13">
        <v>1.0</v>
      </c>
      <c r="N150" s="12"/>
      <c r="Q150" s="9"/>
      <c r="R150" s="11"/>
    </row>
    <row r="151">
      <c r="A151" s="7" t="s">
        <v>162</v>
      </c>
      <c r="B151" s="15" t="s">
        <v>14</v>
      </c>
      <c r="C151" s="13">
        <v>0.0</v>
      </c>
      <c r="D151" s="8">
        <v>15.0</v>
      </c>
      <c r="E151" s="8">
        <v>4.5</v>
      </c>
      <c r="F151" s="8">
        <v>5.0</v>
      </c>
      <c r="G151" s="7">
        <f t="shared" si="1"/>
        <v>24.5</v>
      </c>
      <c r="H151" s="7" t="s">
        <v>14</v>
      </c>
      <c r="I151" s="7" t="s">
        <v>14</v>
      </c>
      <c r="J151" s="13">
        <v>1.0</v>
      </c>
      <c r="K151" s="14" t="s">
        <v>14</v>
      </c>
      <c r="L151" s="13">
        <v>0.0</v>
      </c>
      <c r="Q151" s="9"/>
    </row>
    <row r="152">
      <c r="A152" s="7" t="s">
        <v>163</v>
      </c>
      <c r="B152" s="15" t="s">
        <v>14</v>
      </c>
      <c r="C152" s="13">
        <v>0.0</v>
      </c>
      <c r="D152" s="8">
        <v>0.0</v>
      </c>
      <c r="E152" s="8">
        <v>4.5</v>
      </c>
      <c r="F152" s="8">
        <v>5.0</v>
      </c>
      <c r="G152" s="7">
        <f t="shared" si="1"/>
        <v>9.5</v>
      </c>
      <c r="H152" s="7" t="s">
        <v>14</v>
      </c>
      <c r="I152" s="7" t="s">
        <v>14</v>
      </c>
      <c r="J152" s="13">
        <v>1.0</v>
      </c>
      <c r="K152" s="14" t="s">
        <v>14</v>
      </c>
      <c r="L152" s="13">
        <v>0.0</v>
      </c>
      <c r="N152" s="12"/>
      <c r="Q152" s="9"/>
      <c r="R152" s="11"/>
    </row>
    <row r="153">
      <c r="A153" s="7" t="s">
        <v>164</v>
      </c>
      <c r="B153" s="15" t="s">
        <v>14</v>
      </c>
      <c r="C153" s="13">
        <v>0.0</v>
      </c>
      <c r="D153" s="8">
        <v>15.0</v>
      </c>
      <c r="E153" s="8">
        <v>6.7</v>
      </c>
      <c r="F153" s="8">
        <v>5.0</v>
      </c>
      <c r="G153" s="7">
        <f t="shared" si="1"/>
        <v>26.7</v>
      </c>
      <c r="H153" s="7" t="s">
        <v>14</v>
      </c>
      <c r="I153" s="7" t="s">
        <v>14</v>
      </c>
      <c r="J153" s="13">
        <v>1.0</v>
      </c>
      <c r="K153" s="14" t="s">
        <v>14</v>
      </c>
      <c r="L153" s="13">
        <v>1.0</v>
      </c>
      <c r="Q153" s="9"/>
      <c r="R153" s="11"/>
    </row>
    <row r="154">
      <c r="A154" s="7" t="s">
        <v>165</v>
      </c>
      <c r="B154" s="7" t="s">
        <v>14</v>
      </c>
      <c r="C154" s="16">
        <v>20.0</v>
      </c>
      <c r="D154" s="8">
        <v>15.0</v>
      </c>
      <c r="E154" s="8">
        <v>6.7</v>
      </c>
      <c r="F154" s="8">
        <v>5.0</v>
      </c>
      <c r="G154" s="7">
        <f t="shared" si="1"/>
        <v>46.7</v>
      </c>
      <c r="H154" s="7" t="s">
        <v>14</v>
      </c>
      <c r="I154" s="7" t="s">
        <v>14</v>
      </c>
      <c r="J154" s="13">
        <v>2.0</v>
      </c>
      <c r="K154" s="14" t="s">
        <v>14</v>
      </c>
      <c r="L154" s="13">
        <v>2.0</v>
      </c>
      <c r="N154" s="12"/>
      <c r="Q154" s="9"/>
      <c r="R154" s="11"/>
    </row>
    <row r="155">
      <c r="A155" s="7" t="s">
        <v>166</v>
      </c>
      <c r="B155" s="7" t="s">
        <v>14</v>
      </c>
      <c r="C155" s="16">
        <v>11.5</v>
      </c>
      <c r="D155" s="8">
        <v>0.0</v>
      </c>
      <c r="E155" s="8">
        <v>0.0</v>
      </c>
      <c r="F155" s="8">
        <v>5.0</v>
      </c>
      <c r="G155" s="7">
        <f t="shared" si="1"/>
        <v>16.5</v>
      </c>
      <c r="H155" s="7" t="s">
        <v>14</v>
      </c>
      <c r="I155" s="7" t="s">
        <v>14</v>
      </c>
      <c r="J155" s="13">
        <v>2.0</v>
      </c>
      <c r="K155" s="14" t="s">
        <v>14</v>
      </c>
      <c r="L155" s="13">
        <v>2.0</v>
      </c>
      <c r="N155" s="12"/>
      <c r="Q155" s="9"/>
      <c r="R155" s="11"/>
    </row>
    <row r="156">
      <c r="A156" s="7" t="s">
        <v>167</v>
      </c>
      <c r="B156" s="7" t="s">
        <v>14</v>
      </c>
      <c r="C156" s="18">
        <v>0.0</v>
      </c>
      <c r="D156" s="8">
        <v>15.0</v>
      </c>
      <c r="E156" s="8">
        <v>0.0</v>
      </c>
      <c r="F156" s="8">
        <v>5.0</v>
      </c>
      <c r="G156" s="19">
        <f t="shared" si="1"/>
        <v>20</v>
      </c>
      <c r="H156" s="7" t="s">
        <v>14</v>
      </c>
      <c r="I156" s="7" t="s">
        <v>14</v>
      </c>
      <c r="J156" s="13">
        <v>0.0</v>
      </c>
      <c r="K156" s="14" t="s">
        <v>14</v>
      </c>
      <c r="L156" s="13">
        <v>1.0</v>
      </c>
      <c r="N156" s="22"/>
      <c r="Q156" s="9"/>
      <c r="R156" s="11"/>
    </row>
    <row r="157">
      <c r="A157" s="7" t="s">
        <v>168</v>
      </c>
      <c r="B157" s="7" t="s">
        <v>14</v>
      </c>
      <c r="C157" s="18">
        <v>0.0</v>
      </c>
      <c r="D157" s="8">
        <v>15.0</v>
      </c>
      <c r="E157" s="8">
        <v>9.7</v>
      </c>
      <c r="F157" s="8">
        <v>5.0</v>
      </c>
      <c r="G157" s="19">
        <f t="shared" si="1"/>
        <v>29.7</v>
      </c>
      <c r="H157" s="7" t="s">
        <v>14</v>
      </c>
      <c r="I157" s="7" t="s">
        <v>14</v>
      </c>
      <c r="J157" s="13">
        <v>1.0</v>
      </c>
      <c r="K157" s="14" t="s">
        <v>14</v>
      </c>
      <c r="L157" s="13">
        <v>1.0</v>
      </c>
      <c r="Q157" s="9"/>
      <c r="R157" s="11"/>
    </row>
    <row r="158">
      <c r="A158" s="7" t="s">
        <v>169</v>
      </c>
      <c r="B158" s="15" t="s">
        <v>14</v>
      </c>
      <c r="C158" s="18">
        <v>0.0</v>
      </c>
      <c r="D158" s="8">
        <v>15.0</v>
      </c>
      <c r="E158" s="8">
        <v>6.7</v>
      </c>
      <c r="F158" s="8">
        <v>5.0</v>
      </c>
      <c r="G158" s="19">
        <f t="shared" si="1"/>
        <v>26.7</v>
      </c>
      <c r="H158" s="7" t="s">
        <v>14</v>
      </c>
      <c r="I158" s="7" t="s">
        <v>14</v>
      </c>
      <c r="J158" s="13">
        <v>1.0</v>
      </c>
      <c r="K158" s="14" t="s">
        <v>14</v>
      </c>
      <c r="L158" s="13">
        <v>0.0</v>
      </c>
      <c r="N158" s="12"/>
      <c r="Q158" s="9"/>
      <c r="R158" s="11"/>
    </row>
    <row r="159">
      <c r="A159" s="7" t="s">
        <v>170</v>
      </c>
      <c r="B159" s="7" t="s">
        <v>14</v>
      </c>
      <c r="C159" s="18">
        <v>0.0</v>
      </c>
      <c r="D159" s="8">
        <v>0.0</v>
      </c>
      <c r="E159" s="8">
        <v>0.0</v>
      </c>
      <c r="F159" s="8">
        <v>5.0</v>
      </c>
      <c r="G159" s="19">
        <f t="shared" si="1"/>
        <v>5</v>
      </c>
      <c r="H159" s="7" t="s">
        <v>14</v>
      </c>
      <c r="I159" s="7" t="s">
        <v>14</v>
      </c>
      <c r="J159" s="13">
        <v>0.0</v>
      </c>
      <c r="K159" s="14" t="s">
        <v>14</v>
      </c>
      <c r="L159" s="13">
        <v>1.0</v>
      </c>
      <c r="N159" s="12"/>
      <c r="Q159" s="9"/>
      <c r="R159" s="11"/>
    </row>
    <row r="160">
      <c r="A160" s="7" t="s">
        <v>171</v>
      </c>
      <c r="B160" s="7" t="s">
        <v>14</v>
      </c>
      <c r="C160" s="13">
        <v>16.2</v>
      </c>
      <c r="D160" s="8">
        <v>15.0</v>
      </c>
      <c r="E160" s="8">
        <v>6.0</v>
      </c>
      <c r="F160" s="8">
        <v>15.0</v>
      </c>
      <c r="G160" s="7">
        <f t="shared" si="1"/>
        <v>52.2</v>
      </c>
      <c r="H160" s="7" t="s">
        <v>14</v>
      </c>
      <c r="I160" s="7" t="s">
        <v>14</v>
      </c>
      <c r="J160" s="13">
        <v>1.0</v>
      </c>
      <c r="K160" s="14" t="s">
        <v>14</v>
      </c>
      <c r="L160" s="13">
        <v>1.0</v>
      </c>
      <c r="N160" s="12"/>
      <c r="Q160" s="9"/>
      <c r="R160" s="11"/>
    </row>
    <row r="161">
      <c r="A161" s="7" t="s">
        <v>172</v>
      </c>
      <c r="B161" s="7" t="s">
        <v>14</v>
      </c>
      <c r="C161" s="13">
        <v>0.0</v>
      </c>
      <c r="D161" s="8">
        <v>0.0</v>
      </c>
      <c r="E161" s="8">
        <v>6.7</v>
      </c>
      <c r="F161" s="8">
        <v>5.0</v>
      </c>
      <c r="G161" s="7">
        <f t="shared" si="1"/>
        <v>11.7</v>
      </c>
      <c r="H161" s="7" t="s">
        <v>14</v>
      </c>
      <c r="I161" s="7" t="s">
        <v>14</v>
      </c>
      <c r="J161" s="13">
        <v>2.0</v>
      </c>
      <c r="K161" s="14" t="s">
        <v>14</v>
      </c>
      <c r="L161" s="13">
        <v>2.0</v>
      </c>
      <c r="N161" s="12"/>
      <c r="Q161" s="9"/>
      <c r="R161" s="11"/>
    </row>
    <row r="162">
      <c r="A162" s="7" t="s">
        <v>173</v>
      </c>
      <c r="B162" s="15" t="s">
        <v>14</v>
      </c>
      <c r="C162" s="13">
        <v>0.0</v>
      </c>
      <c r="D162" s="8">
        <v>15.0</v>
      </c>
      <c r="E162" s="8">
        <v>5.3</v>
      </c>
      <c r="F162" s="8">
        <v>5.0</v>
      </c>
      <c r="G162" s="7">
        <f t="shared" si="1"/>
        <v>25.3</v>
      </c>
      <c r="H162" s="7" t="s">
        <v>14</v>
      </c>
      <c r="I162" s="7" t="s">
        <v>14</v>
      </c>
      <c r="J162" s="13">
        <v>1.0</v>
      </c>
      <c r="K162" s="14" t="s">
        <v>14</v>
      </c>
      <c r="L162" s="13">
        <v>0.0</v>
      </c>
      <c r="N162" s="12"/>
      <c r="Q162" s="9"/>
      <c r="R162" s="11"/>
    </row>
    <row r="163">
      <c r="A163" s="7" t="s">
        <v>174</v>
      </c>
      <c r="B163" s="7" t="s">
        <v>14</v>
      </c>
      <c r="C163" s="13">
        <v>0.0</v>
      </c>
      <c r="D163" s="8">
        <v>0.0</v>
      </c>
      <c r="E163" s="8">
        <v>8.2</v>
      </c>
      <c r="F163" s="8">
        <v>5.0</v>
      </c>
      <c r="G163" s="7">
        <f t="shared" si="1"/>
        <v>13.2</v>
      </c>
      <c r="H163" s="7" t="s">
        <v>14</v>
      </c>
      <c r="I163" s="7" t="s">
        <v>14</v>
      </c>
      <c r="J163" s="13">
        <v>0.0</v>
      </c>
      <c r="K163" s="14" t="s">
        <v>14</v>
      </c>
      <c r="L163" s="13">
        <v>1.0</v>
      </c>
      <c r="Q163" s="9"/>
    </row>
    <row r="164">
      <c r="A164" s="7" t="s">
        <v>175</v>
      </c>
      <c r="B164" s="7" t="s">
        <v>14</v>
      </c>
      <c r="C164" s="13">
        <v>0.0</v>
      </c>
      <c r="D164" s="8">
        <v>0.0</v>
      </c>
      <c r="E164" s="8">
        <v>9.7</v>
      </c>
      <c r="F164" s="8">
        <v>5.0</v>
      </c>
      <c r="G164" s="7">
        <f t="shared" si="1"/>
        <v>14.7</v>
      </c>
      <c r="H164" s="7" t="s">
        <v>14</v>
      </c>
      <c r="I164" s="7" t="s">
        <v>14</v>
      </c>
      <c r="J164" s="13">
        <v>1.0</v>
      </c>
      <c r="K164" s="14" t="s">
        <v>14</v>
      </c>
      <c r="L164" s="13">
        <v>1.0</v>
      </c>
      <c r="Q164" s="9"/>
      <c r="R164" s="11"/>
    </row>
    <row r="165">
      <c r="A165" s="7" t="s">
        <v>176</v>
      </c>
      <c r="B165" s="15" t="s">
        <v>14</v>
      </c>
      <c r="C165" s="13">
        <v>0.0</v>
      </c>
      <c r="D165" s="8">
        <v>0.0</v>
      </c>
      <c r="E165" s="8">
        <v>0.0</v>
      </c>
      <c r="F165" s="8">
        <v>15.0</v>
      </c>
      <c r="G165" s="7">
        <f t="shared" si="1"/>
        <v>15</v>
      </c>
      <c r="H165" s="7" t="s">
        <v>14</v>
      </c>
      <c r="I165" s="7" t="s">
        <v>14</v>
      </c>
      <c r="J165" s="13">
        <v>2.0</v>
      </c>
      <c r="K165" s="14" t="s">
        <v>14</v>
      </c>
      <c r="L165" s="13">
        <v>2.0</v>
      </c>
      <c r="Q165" s="9"/>
    </row>
    <row r="166">
      <c r="A166" s="7" t="s">
        <v>177</v>
      </c>
      <c r="B166" s="7" t="s">
        <v>14</v>
      </c>
      <c r="C166" s="13">
        <v>0.0</v>
      </c>
      <c r="D166" s="8">
        <v>15.0</v>
      </c>
      <c r="E166" s="8">
        <v>7.5</v>
      </c>
      <c r="F166" s="8">
        <v>5.0</v>
      </c>
      <c r="G166" s="7">
        <f t="shared" si="1"/>
        <v>27.5</v>
      </c>
      <c r="H166" s="7" t="s">
        <v>14</v>
      </c>
      <c r="I166" s="7" t="s">
        <v>14</v>
      </c>
      <c r="J166" s="13">
        <v>1.0</v>
      </c>
      <c r="K166" s="14" t="s">
        <v>14</v>
      </c>
      <c r="L166" s="13">
        <v>0.0</v>
      </c>
      <c r="Q166" s="9"/>
      <c r="R166" s="11"/>
    </row>
    <row r="167">
      <c r="A167" s="7" t="s">
        <v>178</v>
      </c>
      <c r="B167" s="7" t="s">
        <v>14</v>
      </c>
      <c r="C167" s="8">
        <v>11.1</v>
      </c>
      <c r="D167" s="8">
        <v>0.0</v>
      </c>
      <c r="E167" s="8">
        <v>3.0</v>
      </c>
      <c r="F167" s="8">
        <v>5.0</v>
      </c>
      <c r="G167" s="7">
        <f t="shared" si="1"/>
        <v>19.1</v>
      </c>
      <c r="H167" s="7" t="s">
        <v>14</v>
      </c>
      <c r="I167" s="7" t="s">
        <v>14</v>
      </c>
      <c r="J167" s="13">
        <v>2.0</v>
      </c>
      <c r="K167" s="14" t="s">
        <v>14</v>
      </c>
      <c r="L167" s="13">
        <v>0.0</v>
      </c>
      <c r="Q167" s="9"/>
    </row>
    <row r="168">
      <c r="A168" s="7" t="s">
        <v>179</v>
      </c>
      <c r="B168" s="7" t="s">
        <v>14</v>
      </c>
      <c r="C168" s="13">
        <v>0.0</v>
      </c>
      <c r="D168" s="8">
        <v>0.0</v>
      </c>
      <c r="E168" s="8">
        <v>4.5</v>
      </c>
      <c r="F168" s="8">
        <v>5.0</v>
      </c>
      <c r="G168" s="7">
        <f t="shared" si="1"/>
        <v>9.5</v>
      </c>
      <c r="H168" s="7" t="s">
        <v>14</v>
      </c>
      <c r="I168" s="7" t="s">
        <v>14</v>
      </c>
      <c r="J168" s="13">
        <v>1.0</v>
      </c>
      <c r="K168" s="14" t="s">
        <v>14</v>
      </c>
      <c r="L168" s="13">
        <v>1.0</v>
      </c>
      <c r="N168" s="12"/>
      <c r="O168" s="23"/>
      <c r="Q168" s="9"/>
      <c r="R168" s="11"/>
    </row>
    <row r="169">
      <c r="A169" s="7" t="s">
        <v>180</v>
      </c>
      <c r="B169" s="7" t="s">
        <v>14</v>
      </c>
      <c r="C169" s="7">
        <v>20.0</v>
      </c>
      <c r="D169" s="8">
        <v>15.0</v>
      </c>
      <c r="E169" s="8">
        <v>1.5</v>
      </c>
      <c r="F169" s="8">
        <v>0.0</v>
      </c>
      <c r="G169" s="7">
        <f t="shared" si="1"/>
        <v>36.5</v>
      </c>
      <c r="H169" s="7" t="s">
        <v>14</v>
      </c>
      <c r="I169" s="7" t="s">
        <v>14</v>
      </c>
      <c r="J169" s="13">
        <v>1.0</v>
      </c>
      <c r="K169" s="14" t="s">
        <v>14</v>
      </c>
      <c r="L169" s="13">
        <v>1.0</v>
      </c>
      <c r="Q169" s="9"/>
    </row>
    <row r="170">
      <c r="A170" s="7" t="s">
        <v>181</v>
      </c>
      <c r="B170" s="7" t="s">
        <v>14</v>
      </c>
      <c r="C170" s="7">
        <v>0.0</v>
      </c>
      <c r="D170" s="8">
        <v>0.0</v>
      </c>
      <c r="E170" s="8">
        <v>2.2</v>
      </c>
      <c r="F170" s="8">
        <v>5.0</v>
      </c>
      <c r="G170" s="7">
        <f t="shared" si="1"/>
        <v>7.2</v>
      </c>
      <c r="H170" s="7" t="s">
        <v>14</v>
      </c>
      <c r="I170" s="7" t="s">
        <v>14</v>
      </c>
      <c r="J170" s="8">
        <v>1.0</v>
      </c>
      <c r="K170" s="7" t="s">
        <v>14</v>
      </c>
      <c r="L170" s="8">
        <v>1.0</v>
      </c>
      <c r="Q170" s="11"/>
    </row>
    <row r="171">
      <c r="A171" s="7" t="s">
        <v>182</v>
      </c>
      <c r="B171" s="7" t="s">
        <v>14</v>
      </c>
      <c r="C171" s="7">
        <v>14.3</v>
      </c>
      <c r="D171" s="8">
        <v>15.0</v>
      </c>
      <c r="E171" s="8">
        <v>4.5</v>
      </c>
      <c r="F171" s="8">
        <v>0.0</v>
      </c>
      <c r="G171" s="7">
        <f t="shared" si="1"/>
        <v>33.8</v>
      </c>
      <c r="H171" s="7" t="s">
        <v>14</v>
      </c>
      <c r="I171" s="7" t="s">
        <v>14</v>
      </c>
      <c r="J171" s="13">
        <v>2.0</v>
      </c>
      <c r="K171" s="14" t="s">
        <v>14</v>
      </c>
      <c r="L171" s="13">
        <v>2.0</v>
      </c>
      <c r="Q171" s="9"/>
    </row>
    <row r="172">
      <c r="A172" s="7" t="s">
        <v>183</v>
      </c>
      <c r="B172" s="7" t="s">
        <v>14</v>
      </c>
      <c r="C172" s="8">
        <v>16.2</v>
      </c>
      <c r="D172" s="8">
        <v>15.0</v>
      </c>
      <c r="E172" s="8">
        <v>9.7</v>
      </c>
      <c r="F172" s="8">
        <v>5.0</v>
      </c>
      <c r="G172" s="7">
        <f t="shared" si="1"/>
        <v>45.9</v>
      </c>
      <c r="H172" s="7" t="s">
        <v>14</v>
      </c>
      <c r="I172" s="7" t="s">
        <v>14</v>
      </c>
      <c r="J172" s="8">
        <v>1.0</v>
      </c>
      <c r="K172" s="7" t="s">
        <v>14</v>
      </c>
      <c r="L172" s="8">
        <v>1.0</v>
      </c>
      <c r="Q172" s="11"/>
    </row>
    <row r="173">
      <c r="A173" s="7" t="s">
        <v>184</v>
      </c>
      <c r="B173" s="15" t="s">
        <v>14</v>
      </c>
      <c r="C173" s="13">
        <v>15.1</v>
      </c>
      <c r="D173" s="8">
        <v>15.0</v>
      </c>
      <c r="E173" s="8">
        <v>7.5</v>
      </c>
      <c r="F173" s="8">
        <v>5.0</v>
      </c>
      <c r="G173" s="7">
        <f t="shared" si="1"/>
        <v>42.6</v>
      </c>
      <c r="H173" s="7" t="s">
        <v>14</v>
      </c>
      <c r="I173" s="7" t="s">
        <v>14</v>
      </c>
      <c r="J173" s="13">
        <v>2.0</v>
      </c>
      <c r="K173" s="14" t="s">
        <v>14</v>
      </c>
      <c r="L173" s="13">
        <v>0.0</v>
      </c>
      <c r="N173" s="12"/>
      <c r="Q173" s="9"/>
      <c r="R173" s="11"/>
    </row>
    <row r="174">
      <c r="A174" s="7" t="s">
        <v>185</v>
      </c>
      <c r="B174" s="15" t="s">
        <v>14</v>
      </c>
      <c r="C174" s="7">
        <v>0.0</v>
      </c>
      <c r="D174" s="8">
        <v>15.0</v>
      </c>
      <c r="E174" s="8">
        <v>9.0</v>
      </c>
      <c r="F174" s="8">
        <v>15.0</v>
      </c>
      <c r="G174" s="7">
        <f t="shared" si="1"/>
        <v>39</v>
      </c>
      <c r="H174" s="7" t="s">
        <v>14</v>
      </c>
      <c r="I174" s="7" t="s">
        <v>14</v>
      </c>
      <c r="J174" s="13">
        <v>1.0</v>
      </c>
      <c r="K174" s="14" t="s">
        <v>14</v>
      </c>
      <c r="L174" s="13">
        <v>1.0</v>
      </c>
      <c r="Q174" s="9"/>
    </row>
    <row r="175">
      <c r="A175" s="7" t="s">
        <v>186</v>
      </c>
      <c r="B175" s="7" t="s">
        <v>14</v>
      </c>
      <c r="C175" s="16">
        <v>13.1</v>
      </c>
      <c r="D175" s="8">
        <v>15.0</v>
      </c>
      <c r="E175" s="8">
        <v>1.5</v>
      </c>
      <c r="F175" s="8">
        <v>5.0</v>
      </c>
      <c r="G175" s="7">
        <f t="shared" si="1"/>
        <v>34.6</v>
      </c>
      <c r="H175" s="7" t="s">
        <v>14</v>
      </c>
      <c r="I175" s="7" t="s">
        <v>14</v>
      </c>
      <c r="J175" s="8">
        <v>3.0</v>
      </c>
      <c r="K175" s="7" t="s">
        <v>14</v>
      </c>
      <c r="L175" s="8">
        <v>0.0</v>
      </c>
      <c r="N175" s="12"/>
      <c r="Q175" s="11"/>
    </row>
    <row r="176">
      <c r="A176" s="7" t="s">
        <v>187</v>
      </c>
      <c r="B176" s="7" t="s">
        <v>14</v>
      </c>
      <c r="C176" s="13">
        <v>0.0</v>
      </c>
      <c r="D176" s="8">
        <v>0.0</v>
      </c>
      <c r="E176" s="8">
        <v>6.7</v>
      </c>
      <c r="F176" s="8">
        <v>5.0</v>
      </c>
      <c r="G176" s="7">
        <f t="shared" si="1"/>
        <v>11.7</v>
      </c>
      <c r="H176" s="7" t="s">
        <v>14</v>
      </c>
      <c r="I176" s="7" t="s">
        <v>14</v>
      </c>
      <c r="J176" s="13">
        <v>1.0</v>
      </c>
      <c r="K176" s="14" t="s">
        <v>14</v>
      </c>
      <c r="L176" s="13">
        <v>0.0</v>
      </c>
      <c r="N176" s="12"/>
      <c r="Q176" s="9"/>
      <c r="R176" s="11"/>
    </row>
    <row r="177">
      <c r="A177" s="7" t="s">
        <v>188</v>
      </c>
      <c r="B177" s="7" t="s">
        <v>14</v>
      </c>
      <c r="C177" s="18">
        <v>0.0</v>
      </c>
      <c r="D177" s="8">
        <v>15.0</v>
      </c>
      <c r="E177" s="8">
        <v>10.5</v>
      </c>
      <c r="F177" s="8">
        <v>15.0</v>
      </c>
      <c r="G177" s="19">
        <f t="shared" si="1"/>
        <v>40.5</v>
      </c>
      <c r="H177" s="7" t="s">
        <v>14</v>
      </c>
      <c r="I177" s="7" t="s">
        <v>14</v>
      </c>
      <c r="J177" s="13">
        <v>2.0</v>
      </c>
      <c r="K177" s="14" t="s">
        <v>14</v>
      </c>
      <c r="L177" s="13">
        <v>2.0</v>
      </c>
      <c r="N177" s="12"/>
      <c r="Q177" s="9"/>
      <c r="R177" s="11"/>
    </row>
    <row r="178">
      <c r="A178" s="7" t="s">
        <v>189</v>
      </c>
      <c r="B178" s="15" t="s">
        <v>14</v>
      </c>
      <c r="C178" s="13">
        <v>0.0</v>
      </c>
      <c r="D178" s="8">
        <v>15.0</v>
      </c>
      <c r="E178" s="8">
        <v>0.0</v>
      </c>
      <c r="F178" s="8">
        <v>5.0</v>
      </c>
      <c r="G178" s="7">
        <f t="shared" si="1"/>
        <v>20</v>
      </c>
      <c r="H178" s="7" t="s">
        <v>14</v>
      </c>
      <c r="I178" s="7" t="s">
        <v>14</v>
      </c>
      <c r="J178" s="13">
        <v>1.0</v>
      </c>
      <c r="K178" s="14" t="s">
        <v>14</v>
      </c>
      <c r="L178" s="13">
        <v>1.0</v>
      </c>
      <c r="N178" s="12"/>
      <c r="Q178" s="9"/>
      <c r="R178" s="11"/>
    </row>
    <row r="179">
      <c r="A179" s="7" t="s">
        <v>190</v>
      </c>
      <c r="B179" s="15" t="s">
        <v>14</v>
      </c>
      <c r="C179" s="8">
        <v>15.1</v>
      </c>
      <c r="D179" s="8">
        <v>0.0</v>
      </c>
      <c r="E179" s="8">
        <v>6.0</v>
      </c>
      <c r="F179" s="8">
        <v>5.0</v>
      </c>
      <c r="G179" s="7">
        <f t="shared" si="1"/>
        <v>26.1</v>
      </c>
      <c r="H179" s="7" t="s">
        <v>14</v>
      </c>
      <c r="I179" s="7" t="s">
        <v>14</v>
      </c>
      <c r="J179" s="14">
        <v>1.0</v>
      </c>
      <c r="K179" s="14" t="s">
        <v>14</v>
      </c>
      <c r="L179" s="14">
        <v>0.0</v>
      </c>
      <c r="Q179" s="9"/>
      <c r="R179" s="11"/>
    </row>
    <row r="180">
      <c r="A180" s="7" t="s">
        <v>191</v>
      </c>
      <c r="B180" s="7" t="s">
        <v>14</v>
      </c>
      <c r="C180" s="13">
        <v>16.0</v>
      </c>
      <c r="D180" s="8">
        <v>15.0</v>
      </c>
      <c r="E180" s="8">
        <v>7.5</v>
      </c>
      <c r="F180" s="8">
        <v>15.0</v>
      </c>
      <c r="G180" s="7">
        <f t="shared" si="1"/>
        <v>53.5</v>
      </c>
      <c r="H180" s="7" t="s">
        <v>14</v>
      </c>
      <c r="I180" s="7" t="s">
        <v>14</v>
      </c>
      <c r="J180" s="14">
        <v>2.0</v>
      </c>
      <c r="K180" s="14" t="s">
        <v>14</v>
      </c>
      <c r="L180" s="14">
        <v>2.0</v>
      </c>
      <c r="N180" s="12"/>
      <c r="Q180" s="9"/>
    </row>
    <row r="181">
      <c r="A181" s="7" t="s">
        <v>192</v>
      </c>
      <c r="B181" s="15" t="s">
        <v>14</v>
      </c>
      <c r="C181" s="13">
        <v>0.0</v>
      </c>
      <c r="D181" s="8">
        <v>15.0</v>
      </c>
      <c r="E181" s="8">
        <v>8.2</v>
      </c>
      <c r="F181" s="8">
        <v>15.0</v>
      </c>
      <c r="G181" s="7">
        <f t="shared" si="1"/>
        <v>38.2</v>
      </c>
      <c r="H181" s="7" t="s">
        <v>14</v>
      </c>
      <c r="I181" s="7" t="s">
        <v>14</v>
      </c>
      <c r="J181" s="13">
        <v>4.0</v>
      </c>
      <c r="K181" s="14" t="s">
        <v>14</v>
      </c>
      <c r="L181" s="13">
        <v>4.0</v>
      </c>
      <c r="N181" s="12"/>
      <c r="Q181" s="9"/>
      <c r="R181" s="11"/>
    </row>
    <row r="182">
      <c r="A182" s="7" t="s">
        <v>193</v>
      </c>
      <c r="B182" s="15" t="s">
        <v>14</v>
      </c>
      <c r="C182" s="13">
        <v>12.3</v>
      </c>
      <c r="D182" s="8">
        <v>0.0</v>
      </c>
      <c r="E182" s="8">
        <v>4.5</v>
      </c>
      <c r="F182" s="8">
        <v>0.0</v>
      </c>
      <c r="G182" s="7">
        <f t="shared" si="1"/>
        <v>16.8</v>
      </c>
      <c r="H182" s="7" t="s">
        <v>14</v>
      </c>
      <c r="I182" s="7" t="s">
        <v>14</v>
      </c>
      <c r="J182" s="13">
        <v>3.0</v>
      </c>
      <c r="K182" s="14" t="s">
        <v>14</v>
      </c>
      <c r="L182" s="13">
        <v>3.0</v>
      </c>
      <c r="N182" s="12"/>
      <c r="Q182" s="9"/>
      <c r="R182" s="11"/>
    </row>
    <row r="183">
      <c r="A183" s="7" t="s">
        <v>194</v>
      </c>
      <c r="B183" s="7" t="s">
        <v>14</v>
      </c>
      <c r="C183" s="7">
        <v>0.0</v>
      </c>
      <c r="D183" s="8">
        <v>15.0</v>
      </c>
      <c r="E183" s="8">
        <v>0.0</v>
      </c>
      <c r="F183" s="8">
        <v>5.0</v>
      </c>
      <c r="G183" s="7">
        <f t="shared" si="1"/>
        <v>20</v>
      </c>
      <c r="H183" s="7" t="s">
        <v>14</v>
      </c>
      <c r="I183" s="7" t="s">
        <v>14</v>
      </c>
      <c r="J183" s="13">
        <v>1.0</v>
      </c>
      <c r="K183" s="14" t="s">
        <v>14</v>
      </c>
      <c r="L183" s="13">
        <v>0.0</v>
      </c>
      <c r="Q183" s="9"/>
    </row>
    <row r="184">
      <c r="A184" s="7" t="s">
        <v>195</v>
      </c>
      <c r="B184" s="7" t="s">
        <v>14</v>
      </c>
      <c r="C184" s="8">
        <v>10.5</v>
      </c>
      <c r="D184" s="8">
        <v>15.0</v>
      </c>
      <c r="E184" s="8">
        <v>2.2</v>
      </c>
      <c r="F184" s="8">
        <v>5.0</v>
      </c>
      <c r="G184" s="7">
        <f t="shared" si="1"/>
        <v>32.7</v>
      </c>
      <c r="H184" s="7" t="s">
        <v>14</v>
      </c>
      <c r="I184" s="7" t="s">
        <v>14</v>
      </c>
      <c r="J184" s="8">
        <v>1.0</v>
      </c>
      <c r="K184" s="7" t="s">
        <v>14</v>
      </c>
      <c r="L184" s="8">
        <v>1.0</v>
      </c>
      <c r="Q184" s="9"/>
    </row>
    <row r="185">
      <c r="A185" s="7" t="s">
        <v>196</v>
      </c>
      <c r="B185" s="7" t="s">
        <v>14</v>
      </c>
      <c r="C185" s="7">
        <v>0.0</v>
      </c>
      <c r="D185" s="8">
        <v>0.0</v>
      </c>
      <c r="E185" s="8">
        <v>6.0</v>
      </c>
      <c r="F185" s="8">
        <v>25.0</v>
      </c>
      <c r="G185" s="7">
        <f t="shared" si="1"/>
        <v>31</v>
      </c>
      <c r="H185" s="7" t="s">
        <v>14</v>
      </c>
      <c r="I185" s="7" t="s">
        <v>14</v>
      </c>
      <c r="J185" s="13">
        <v>1.0</v>
      </c>
      <c r="K185" s="14" t="s">
        <v>14</v>
      </c>
      <c r="L185" s="13">
        <v>0.0</v>
      </c>
      <c r="Q185" s="9"/>
    </row>
    <row r="186">
      <c r="A186" s="7" t="s">
        <v>197</v>
      </c>
      <c r="B186" s="15" t="s">
        <v>14</v>
      </c>
      <c r="C186" s="8">
        <v>19.5</v>
      </c>
      <c r="D186" s="8">
        <v>15.0</v>
      </c>
      <c r="E186" s="8">
        <v>6.7</v>
      </c>
      <c r="F186" s="8">
        <v>20.0</v>
      </c>
      <c r="G186" s="7">
        <f t="shared" si="1"/>
        <v>61.2</v>
      </c>
      <c r="H186" s="7" t="s">
        <v>14</v>
      </c>
      <c r="I186" s="7" t="s">
        <v>14</v>
      </c>
      <c r="J186" s="13">
        <v>4.0</v>
      </c>
      <c r="K186" s="14" t="s">
        <v>14</v>
      </c>
      <c r="L186" s="13">
        <v>4.0</v>
      </c>
      <c r="Q186" s="9"/>
    </row>
    <row r="187">
      <c r="A187" s="7" t="s">
        <v>198</v>
      </c>
      <c r="B187" s="7" t="s">
        <v>14</v>
      </c>
      <c r="C187" s="7">
        <v>0.0</v>
      </c>
      <c r="D187" s="8">
        <v>15.0</v>
      </c>
      <c r="E187" s="8">
        <v>0.0</v>
      </c>
      <c r="F187" s="8">
        <v>0.0</v>
      </c>
      <c r="G187" s="7">
        <f t="shared" si="1"/>
        <v>15</v>
      </c>
      <c r="H187" s="7" t="s">
        <v>14</v>
      </c>
      <c r="I187" s="7" t="s">
        <v>14</v>
      </c>
      <c r="J187" s="13">
        <v>1.0</v>
      </c>
      <c r="K187" s="14" t="s">
        <v>14</v>
      </c>
      <c r="L187" s="13">
        <v>1.0</v>
      </c>
      <c r="Q187" s="9"/>
    </row>
    <row r="188">
      <c r="A188" s="7" t="s">
        <v>199</v>
      </c>
      <c r="B188" s="7" t="s">
        <v>14</v>
      </c>
      <c r="C188" s="13">
        <v>12.3</v>
      </c>
      <c r="D188" s="8">
        <v>15.0</v>
      </c>
      <c r="E188" s="8">
        <v>0.0</v>
      </c>
      <c r="F188" s="8">
        <v>5.0</v>
      </c>
      <c r="G188" s="7">
        <f t="shared" si="1"/>
        <v>32.3</v>
      </c>
      <c r="H188" s="7" t="s">
        <v>14</v>
      </c>
      <c r="I188" s="7" t="s">
        <v>14</v>
      </c>
      <c r="J188" s="13">
        <v>1.0</v>
      </c>
      <c r="K188" s="14" t="s">
        <v>14</v>
      </c>
      <c r="L188" s="13">
        <v>1.0</v>
      </c>
      <c r="N188" s="12"/>
      <c r="Q188" s="9"/>
      <c r="R188" s="11"/>
    </row>
    <row r="189">
      <c r="A189" s="7" t="s">
        <v>200</v>
      </c>
      <c r="B189" s="7" t="s">
        <v>14</v>
      </c>
      <c r="C189" s="7">
        <v>0.0</v>
      </c>
      <c r="D189" s="8">
        <v>15.0</v>
      </c>
      <c r="E189" s="8">
        <v>10.5</v>
      </c>
      <c r="F189" s="8">
        <v>5.0</v>
      </c>
      <c r="G189" s="7">
        <f t="shared" si="1"/>
        <v>30.5</v>
      </c>
      <c r="H189" s="7" t="s">
        <v>14</v>
      </c>
      <c r="I189" s="7" t="s">
        <v>14</v>
      </c>
      <c r="J189" s="13">
        <v>1.0</v>
      </c>
      <c r="K189" s="14" t="s">
        <v>14</v>
      </c>
      <c r="L189" s="13">
        <v>0.0</v>
      </c>
      <c r="Q189" s="9"/>
    </row>
    <row r="190">
      <c r="A190" s="7" t="s">
        <v>201</v>
      </c>
      <c r="B190" s="7" t="s">
        <v>14</v>
      </c>
      <c r="C190" s="18">
        <v>10.0</v>
      </c>
      <c r="D190" s="8">
        <v>15.0</v>
      </c>
      <c r="E190" s="8">
        <v>7.5</v>
      </c>
      <c r="F190" s="8">
        <v>5.0</v>
      </c>
      <c r="G190" s="19">
        <f t="shared" si="1"/>
        <v>37.5</v>
      </c>
      <c r="H190" s="7" t="s">
        <v>14</v>
      </c>
      <c r="I190" s="7" t="s">
        <v>14</v>
      </c>
      <c r="J190" s="13">
        <v>0.0</v>
      </c>
      <c r="K190" s="14" t="s">
        <v>14</v>
      </c>
      <c r="L190" s="13">
        <v>1.0</v>
      </c>
      <c r="N190" s="12"/>
      <c r="Q190" s="9"/>
      <c r="R190" s="11"/>
    </row>
    <row r="191">
      <c r="A191" s="7" t="s">
        <v>202</v>
      </c>
      <c r="B191" s="7" t="s">
        <v>14</v>
      </c>
      <c r="C191" s="13">
        <v>0.0</v>
      </c>
      <c r="D191" s="8">
        <v>0.0</v>
      </c>
      <c r="E191" s="8">
        <v>9.7</v>
      </c>
      <c r="F191" s="8">
        <v>5.0</v>
      </c>
      <c r="G191" s="7">
        <f t="shared" si="1"/>
        <v>14.7</v>
      </c>
      <c r="H191" s="7" t="s">
        <v>14</v>
      </c>
      <c r="I191" s="7" t="s">
        <v>14</v>
      </c>
      <c r="J191" s="13">
        <v>1.0</v>
      </c>
      <c r="K191" s="14" t="s">
        <v>14</v>
      </c>
      <c r="L191" s="13">
        <v>1.0</v>
      </c>
      <c r="N191" s="12"/>
      <c r="Q191" s="9"/>
      <c r="R191" s="11"/>
    </row>
    <row r="192">
      <c r="A192" s="7" t="s">
        <v>203</v>
      </c>
      <c r="B192" s="15" t="s">
        <v>14</v>
      </c>
      <c r="C192" s="13">
        <v>0.0</v>
      </c>
      <c r="D192" s="8">
        <v>15.0</v>
      </c>
      <c r="E192" s="8">
        <v>6.0</v>
      </c>
      <c r="F192" s="8">
        <v>5.0</v>
      </c>
      <c r="G192" s="7">
        <f t="shared" si="1"/>
        <v>26</v>
      </c>
      <c r="H192" s="7" t="s">
        <v>14</v>
      </c>
      <c r="I192" s="7" t="s">
        <v>14</v>
      </c>
      <c r="J192" s="13">
        <v>1.0</v>
      </c>
      <c r="K192" s="14" t="s">
        <v>14</v>
      </c>
      <c r="L192" s="13">
        <v>1.0</v>
      </c>
      <c r="Q192" s="9"/>
    </row>
    <row r="193">
      <c r="A193" s="7" t="s">
        <v>204</v>
      </c>
      <c r="B193" s="15" t="s">
        <v>14</v>
      </c>
      <c r="C193" s="13">
        <v>0.0</v>
      </c>
      <c r="D193" s="8">
        <v>15.0</v>
      </c>
      <c r="E193" s="8">
        <v>6.0</v>
      </c>
      <c r="F193" s="8">
        <v>5.0</v>
      </c>
      <c r="G193" s="7">
        <f t="shared" si="1"/>
        <v>26</v>
      </c>
      <c r="H193" s="7" t="s">
        <v>14</v>
      </c>
      <c r="I193" s="7" t="s">
        <v>14</v>
      </c>
      <c r="J193" s="13">
        <v>1.0</v>
      </c>
      <c r="K193" s="14" t="s">
        <v>14</v>
      </c>
      <c r="L193" s="13">
        <v>0.0</v>
      </c>
      <c r="Q193" s="9"/>
    </row>
    <row r="194">
      <c r="A194" s="7" t="s">
        <v>205</v>
      </c>
      <c r="B194" s="15" t="s">
        <v>14</v>
      </c>
      <c r="C194" s="13">
        <v>0.0</v>
      </c>
      <c r="D194" s="8">
        <v>0.0</v>
      </c>
      <c r="E194" s="8">
        <v>4.5</v>
      </c>
      <c r="F194" s="8">
        <v>5.0</v>
      </c>
      <c r="G194" s="7">
        <f t="shared" si="1"/>
        <v>9.5</v>
      </c>
      <c r="H194" s="7" t="s">
        <v>14</v>
      </c>
      <c r="I194" s="7" t="s">
        <v>14</v>
      </c>
      <c r="J194" s="13">
        <v>1.0</v>
      </c>
      <c r="K194" s="14" t="s">
        <v>14</v>
      </c>
      <c r="L194" s="13">
        <v>1.0</v>
      </c>
      <c r="N194" s="12"/>
      <c r="Q194" s="9"/>
      <c r="R194" s="11"/>
    </row>
    <row r="195">
      <c r="A195" s="7" t="s">
        <v>206</v>
      </c>
      <c r="B195" s="15" t="s">
        <v>14</v>
      </c>
      <c r="C195" s="13">
        <v>0.0</v>
      </c>
      <c r="D195" s="8">
        <v>0.0</v>
      </c>
      <c r="E195" s="8">
        <v>4.5</v>
      </c>
      <c r="F195" s="8">
        <v>0.0</v>
      </c>
      <c r="G195" s="7">
        <f t="shared" si="1"/>
        <v>4.5</v>
      </c>
      <c r="H195" s="7" t="s">
        <v>14</v>
      </c>
      <c r="I195" s="7" t="s">
        <v>14</v>
      </c>
      <c r="J195" s="13">
        <v>1.0</v>
      </c>
      <c r="K195" s="14" t="s">
        <v>14</v>
      </c>
      <c r="L195" s="13">
        <v>0.0</v>
      </c>
      <c r="N195" s="12"/>
      <c r="Q195" s="9"/>
    </row>
    <row r="196">
      <c r="A196" s="7" t="s">
        <v>207</v>
      </c>
      <c r="B196" s="7" t="s">
        <v>14</v>
      </c>
      <c r="C196" s="13">
        <v>0.0</v>
      </c>
      <c r="D196" s="8">
        <v>0.0</v>
      </c>
      <c r="E196" s="8">
        <v>5.3</v>
      </c>
      <c r="F196" s="7">
        <v>5.0</v>
      </c>
      <c r="G196" s="7">
        <f t="shared" si="1"/>
        <v>10.3</v>
      </c>
      <c r="H196" s="7" t="s">
        <v>14</v>
      </c>
      <c r="I196" s="7" t="s">
        <v>14</v>
      </c>
      <c r="J196" s="13">
        <v>1.0</v>
      </c>
      <c r="K196" s="14" t="s">
        <v>14</v>
      </c>
      <c r="L196" s="13">
        <v>0.0</v>
      </c>
      <c r="Q196" s="9"/>
      <c r="R196" s="11"/>
    </row>
    <row r="197">
      <c r="A197" s="7" t="s">
        <v>208</v>
      </c>
      <c r="B197" s="7" t="s">
        <v>14</v>
      </c>
      <c r="C197" s="8">
        <v>13.9</v>
      </c>
      <c r="D197" s="8">
        <v>15.0</v>
      </c>
      <c r="E197" s="8">
        <v>5.3</v>
      </c>
      <c r="F197" s="8">
        <v>5.0</v>
      </c>
      <c r="G197" s="7">
        <f t="shared" si="1"/>
        <v>39.2</v>
      </c>
      <c r="H197" s="7" t="s">
        <v>14</v>
      </c>
      <c r="I197" s="7" t="s">
        <v>14</v>
      </c>
      <c r="J197" s="13">
        <v>1.0</v>
      </c>
      <c r="K197" s="14" t="s">
        <v>14</v>
      </c>
      <c r="L197" s="13">
        <v>0.0</v>
      </c>
      <c r="Q197" s="9"/>
    </row>
    <row r="198">
      <c r="A198" s="7" t="s">
        <v>209</v>
      </c>
      <c r="B198" s="15" t="s">
        <v>14</v>
      </c>
      <c r="C198" s="13">
        <v>0.0</v>
      </c>
      <c r="D198" s="8">
        <v>15.0</v>
      </c>
      <c r="E198" s="8">
        <v>6.7</v>
      </c>
      <c r="F198" s="8">
        <v>0.0</v>
      </c>
      <c r="G198" s="7">
        <f t="shared" si="1"/>
        <v>21.7</v>
      </c>
      <c r="H198" s="7" t="s">
        <v>14</v>
      </c>
      <c r="I198" s="7" t="s">
        <v>14</v>
      </c>
      <c r="J198" s="13">
        <v>1.0</v>
      </c>
      <c r="K198" s="14" t="s">
        <v>14</v>
      </c>
      <c r="L198" s="13">
        <v>0.0</v>
      </c>
      <c r="N198" s="12"/>
      <c r="Q198" s="9"/>
    </row>
    <row r="199">
      <c r="A199" s="7" t="s">
        <v>210</v>
      </c>
      <c r="B199" s="7" t="s">
        <v>14</v>
      </c>
      <c r="C199" s="18">
        <v>0.0</v>
      </c>
      <c r="D199" s="8">
        <v>0.0</v>
      </c>
      <c r="E199" s="8">
        <v>0.0</v>
      </c>
      <c r="F199" s="8">
        <v>5.0</v>
      </c>
      <c r="G199" s="19">
        <f t="shared" si="1"/>
        <v>5</v>
      </c>
      <c r="H199" s="7" t="s">
        <v>14</v>
      </c>
      <c r="I199" s="7" t="s">
        <v>14</v>
      </c>
      <c r="J199" s="13">
        <v>1.0</v>
      </c>
      <c r="K199" s="14" t="s">
        <v>14</v>
      </c>
      <c r="L199" s="13">
        <v>0.0</v>
      </c>
      <c r="N199" s="12"/>
      <c r="Q199" s="9"/>
      <c r="R199" s="11"/>
    </row>
    <row r="200">
      <c r="A200" s="7" t="s">
        <v>211</v>
      </c>
      <c r="B200" s="7" t="s">
        <v>14</v>
      </c>
      <c r="C200" s="13">
        <v>19.0</v>
      </c>
      <c r="D200" s="8">
        <v>15.0</v>
      </c>
      <c r="E200" s="8">
        <v>5.3</v>
      </c>
      <c r="F200" s="8">
        <v>0.0</v>
      </c>
      <c r="G200" s="7">
        <f t="shared" si="1"/>
        <v>39.3</v>
      </c>
      <c r="H200" s="7" t="s">
        <v>14</v>
      </c>
      <c r="I200" s="7" t="s">
        <v>14</v>
      </c>
      <c r="J200" s="13">
        <v>2.0</v>
      </c>
      <c r="K200" s="14" t="s">
        <v>14</v>
      </c>
      <c r="L200" s="13">
        <v>0.0</v>
      </c>
      <c r="N200" s="12"/>
      <c r="Q200" s="9"/>
      <c r="R200" s="11"/>
    </row>
    <row r="201">
      <c r="A201" s="7" t="s">
        <v>212</v>
      </c>
      <c r="B201" s="7" t="s">
        <v>14</v>
      </c>
      <c r="C201" s="7">
        <v>0.0</v>
      </c>
      <c r="D201" s="8">
        <v>0.0</v>
      </c>
      <c r="E201" s="8">
        <v>6.0</v>
      </c>
      <c r="F201" s="8">
        <v>0.0</v>
      </c>
      <c r="G201" s="7">
        <f t="shared" si="1"/>
        <v>6</v>
      </c>
      <c r="H201" s="7" t="s">
        <v>14</v>
      </c>
      <c r="I201" s="7" t="s">
        <v>14</v>
      </c>
      <c r="J201" s="13">
        <v>1.0</v>
      </c>
      <c r="K201" s="14" t="s">
        <v>14</v>
      </c>
      <c r="L201" s="13">
        <v>0.0</v>
      </c>
      <c r="Q201" s="9"/>
    </row>
    <row r="202">
      <c r="A202" s="7" t="s">
        <v>213</v>
      </c>
      <c r="B202" s="7" t="s">
        <v>14</v>
      </c>
      <c r="C202" s="7">
        <v>0.0</v>
      </c>
      <c r="D202" s="8">
        <v>15.0</v>
      </c>
      <c r="E202" s="8">
        <v>8.2</v>
      </c>
      <c r="F202" s="8">
        <v>5.0</v>
      </c>
      <c r="G202" s="7">
        <f t="shared" si="1"/>
        <v>28.2</v>
      </c>
      <c r="H202" s="7" t="s">
        <v>14</v>
      </c>
      <c r="I202" s="7" t="s">
        <v>14</v>
      </c>
      <c r="J202" s="14">
        <v>0.0</v>
      </c>
      <c r="K202" s="14" t="s">
        <v>14</v>
      </c>
      <c r="L202" s="14">
        <v>1.0</v>
      </c>
      <c r="Q202" s="9"/>
    </row>
    <row r="203">
      <c r="A203" s="7" t="s">
        <v>214</v>
      </c>
      <c r="B203" s="7" t="s">
        <v>14</v>
      </c>
      <c r="C203" s="7">
        <v>0.0</v>
      </c>
      <c r="D203" s="8">
        <v>15.0</v>
      </c>
      <c r="E203" s="8">
        <v>0.0</v>
      </c>
      <c r="F203" s="8">
        <v>5.0</v>
      </c>
      <c r="G203" s="7">
        <f t="shared" si="1"/>
        <v>20</v>
      </c>
      <c r="H203" s="7" t="s">
        <v>14</v>
      </c>
      <c r="I203" s="7" t="s">
        <v>14</v>
      </c>
      <c r="J203" s="13">
        <v>1.0</v>
      </c>
      <c r="K203" s="14" t="s">
        <v>14</v>
      </c>
      <c r="L203" s="13">
        <v>0.0</v>
      </c>
      <c r="N203" s="17"/>
      <c r="Q203" s="9"/>
      <c r="R203" s="11"/>
    </row>
    <row r="204">
      <c r="A204" s="7" t="s">
        <v>215</v>
      </c>
      <c r="B204" s="15" t="s">
        <v>14</v>
      </c>
      <c r="C204" s="7">
        <v>0.0</v>
      </c>
      <c r="D204" s="8">
        <v>0.0</v>
      </c>
      <c r="E204" s="8">
        <v>8.2</v>
      </c>
      <c r="F204" s="8">
        <v>5.0</v>
      </c>
      <c r="G204" s="7">
        <f t="shared" si="1"/>
        <v>13.2</v>
      </c>
      <c r="H204" s="7" t="s">
        <v>14</v>
      </c>
      <c r="I204" s="7" t="s">
        <v>14</v>
      </c>
      <c r="J204" s="13">
        <v>1.0</v>
      </c>
      <c r="K204" s="14" t="s">
        <v>14</v>
      </c>
      <c r="L204" s="13">
        <v>0.0</v>
      </c>
      <c r="Q204" s="9"/>
    </row>
    <row r="205">
      <c r="A205" s="7" t="s">
        <v>216</v>
      </c>
      <c r="B205" s="7" t="s">
        <v>14</v>
      </c>
      <c r="C205" s="7">
        <v>0.0</v>
      </c>
      <c r="D205" s="8">
        <v>0.0</v>
      </c>
      <c r="E205" s="8">
        <v>0.0</v>
      </c>
      <c r="F205" s="8">
        <v>5.0</v>
      </c>
      <c r="G205" s="7">
        <f t="shared" si="1"/>
        <v>5</v>
      </c>
      <c r="H205" s="7" t="s">
        <v>14</v>
      </c>
      <c r="I205" s="7" t="s">
        <v>14</v>
      </c>
      <c r="J205" s="14">
        <v>1.0</v>
      </c>
      <c r="K205" s="14" t="s">
        <v>14</v>
      </c>
      <c r="L205" s="14">
        <v>0.0</v>
      </c>
      <c r="Q205" s="9"/>
      <c r="R205" s="11"/>
    </row>
    <row r="206">
      <c r="A206" s="7" t="s">
        <v>217</v>
      </c>
      <c r="B206" s="7" t="s">
        <v>14</v>
      </c>
      <c r="C206" s="7">
        <v>0.0</v>
      </c>
      <c r="D206" s="8">
        <v>15.0</v>
      </c>
      <c r="E206" s="8">
        <v>8.2</v>
      </c>
      <c r="F206" s="8">
        <v>5.0</v>
      </c>
      <c r="G206" s="7">
        <f t="shared" si="1"/>
        <v>28.2</v>
      </c>
      <c r="H206" s="7" t="s">
        <v>14</v>
      </c>
      <c r="I206" s="7" t="s">
        <v>14</v>
      </c>
      <c r="J206" s="13">
        <v>1.0</v>
      </c>
      <c r="K206" s="14" t="s">
        <v>14</v>
      </c>
      <c r="L206" s="13">
        <v>0.0</v>
      </c>
      <c r="N206" s="12"/>
      <c r="Q206" s="9"/>
      <c r="R206" s="11"/>
    </row>
    <row r="207">
      <c r="A207" s="7" t="s">
        <v>218</v>
      </c>
      <c r="B207" s="7" t="s">
        <v>14</v>
      </c>
      <c r="C207" s="7">
        <v>0.0</v>
      </c>
      <c r="D207" s="8">
        <v>0.0</v>
      </c>
      <c r="E207" s="8">
        <v>1.5</v>
      </c>
      <c r="F207" s="8">
        <v>0.0</v>
      </c>
      <c r="G207" s="7">
        <f t="shared" si="1"/>
        <v>1.5</v>
      </c>
      <c r="H207" s="7" t="s">
        <v>14</v>
      </c>
      <c r="I207" s="7" t="s">
        <v>14</v>
      </c>
      <c r="J207" s="13">
        <v>0.0</v>
      </c>
      <c r="K207" s="14" t="s">
        <v>14</v>
      </c>
      <c r="L207" s="13">
        <v>1.0</v>
      </c>
      <c r="N207" s="12"/>
      <c r="Q207" s="9"/>
    </row>
    <row r="208">
      <c r="A208" s="7" t="s">
        <v>219</v>
      </c>
      <c r="B208" s="7" t="s">
        <v>14</v>
      </c>
      <c r="C208" s="7">
        <v>13.6</v>
      </c>
      <c r="D208" s="8">
        <v>0.0</v>
      </c>
      <c r="E208" s="8">
        <v>7.5</v>
      </c>
      <c r="F208" s="8">
        <v>5.0</v>
      </c>
      <c r="G208" s="7">
        <f t="shared" si="1"/>
        <v>26.1</v>
      </c>
      <c r="H208" s="7" t="s">
        <v>14</v>
      </c>
      <c r="I208" s="7" t="s">
        <v>14</v>
      </c>
      <c r="J208" s="13">
        <v>1.0</v>
      </c>
      <c r="K208" s="14" t="s">
        <v>14</v>
      </c>
      <c r="L208" s="13">
        <v>1.0</v>
      </c>
      <c r="N208" s="12"/>
      <c r="Q208" s="9"/>
    </row>
    <row r="209">
      <c r="A209" s="7" t="s">
        <v>220</v>
      </c>
      <c r="B209" s="15" t="s">
        <v>14</v>
      </c>
      <c r="C209" s="7">
        <v>0.0</v>
      </c>
      <c r="D209" s="8">
        <v>0.0</v>
      </c>
      <c r="E209" s="8">
        <v>11.2</v>
      </c>
      <c r="F209" s="8">
        <v>5.0</v>
      </c>
      <c r="G209" s="7">
        <f t="shared" si="1"/>
        <v>16.2</v>
      </c>
      <c r="H209" s="7" t="s">
        <v>14</v>
      </c>
      <c r="I209" s="7" t="s">
        <v>14</v>
      </c>
      <c r="J209" s="13">
        <v>1.0</v>
      </c>
      <c r="K209" s="14" t="s">
        <v>14</v>
      </c>
      <c r="L209" s="13">
        <v>1.0</v>
      </c>
      <c r="Q209" s="9"/>
    </row>
    <row r="210">
      <c r="A210" s="7" t="s">
        <v>221</v>
      </c>
      <c r="B210" s="15" t="s">
        <v>14</v>
      </c>
      <c r="C210" s="7">
        <v>0.0</v>
      </c>
      <c r="D210" s="8">
        <v>15.0</v>
      </c>
      <c r="E210" s="8">
        <v>9.0</v>
      </c>
      <c r="F210" s="8">
        <v>5.0</v>
      </c>
      <c r="G210" s="7">
        <f t="shared" si="1"/>
        <v>29</v>
      </c>
      <c r="H210" s="7" t="s">
        <v>14</v>
      </c>
      <c r="I210" s="7" t="s">
        <v>14</v>
      </c>
      <c r="J210" s="14">
        <v>1.0</v>
      </c>
      <c r="K210" s="14" t="s">
        <v>14</v>
      </c>
      <c r="L210" s="14">
        <v>0.0</v>
      </c>
      <c r="Q210" s="9"/>
      <c r="R210" s="11"/>
    </row>
    <row r="211">
      <c r="A211" s="7" t="s">
        <v>222</v>
      </c>
      <c r="B211" s="7" t="s">
        <v>14</v>
      </c>
      <c r="C211" s="7">
        <v>0.0</v>
      </c>
      <c r="D211" s="8">
        <v>15.0</v>
      </c>
      <c r="E211" s="8">
        <v>2.2</v>
      </c>
      <c r="F211" s="8">
        <v>0.0</v>
      </c>
      <c r="G211" s="7">
        <f t="shared" si="1"/>
        <v>17.2</v>
      </c>
      <c r="H211" s="7" t="s">
        <v>14</v>
      </c>
      <c r="I211" s="7" t="s">
        <v>14</v>
      </c>
      <c r="J211" s="13">
        <v>1.0</v>
      </c>
      <c r="K211" s="14" t="s">
        <v>14</v>
      </c>
      <c r="L211" s="13">
        <v>0.0</v>
      </c>
      <c r="Q211" s="9"/>
      <c r="R211" s="11"/>
    </row>
    <row r="212">
      <c r="A212" s="7" t="s">
        <v>223</v>
      </c>
      <c r="B212" s="15" t="s">
        <v>14</v>
      </c>
      <c r="C212" s="7">
        <v>0.0</v>
      </c>
      <c r="D212" s="8">
        <v>15.0</v>
      </c>
      <c r="E212" s="8">
        <v>9.0</v>
      </c>
      <c r="F212" s="8">
        <v>5.0</v>
      </c>
      <c r="G212" s="7">
        <f t="shared" si="1"/>
        <v>29</v>
      </c>
      <c r="H212" s="7" t="s">
        <v>14</v>
      </c>
      <c r="I212" s="7" t="s">
        <v>14</v>
      </c>
      <c r="J212" s="13">
        <v>1.0</v>
      </c>
      <c r="K212" s="14" t="s">
        <v>14</v>
      </c>
      <c r="L212" s="13">
        <v>1.0</v>
      </c>
      <c r="N212" s="12"/>
      <c r="O212" s="24"/>
      <c r="P212" s="24"/>
      <c r="Q212" s="9"/>
      <c r="R212" s="11"/>
    </row>
    <row r="213">
      <c r="A213" s="7" t="s">
        <v>224</v>
      </c>
      <c r="B213" s="7" t="s">
        <v>14</v>
      </c>
      <c r="C213" s="7">
        <v>0.0</v>
      </c>
      <c r="D213" s="8">
        <v>15.0</v>
      </c>
      <c r="E213" s="8">
        <v>6.0</v>
      </c>
      <c r="F213" s="8">
        <v>5.0</v>
      </c>
      <c r="G213" s="7">
        <f t="shared" si="1"/>
        <v>26</v>
      </c>
      <c r="H213" s="7" t="s">
        <v>14</v>
      </c>
      <c r="I213" s="7" t="s">
        <v>14</v>
      </c>
      <c r="J213" s="13">
        <v>1.0</v>
      </c>
      <c r="K213" s="14" t="s">
        <v>14</v>
      </c>
      <c r="L213" s="13">
        <v>0.0</v>
      </c>
      <c r="Q213" s="9"/>
      <c r="R213" s="11"/>
    </row>
    <row r="214">
      <c r="A214" s="7" t="s">
        <v>225</v>
      </c>
      <c r="B214" s="7" t="s">
        <v>14</v>
      </c>
      <c r="C214" s="7">
        <v>0.0</v>
      </c>
      <c r="D214" s="8">
        <v>0.0</v>
      </c>
      <c r="E214" s="8">
        <v>6.7</v>
      </c>
      <c r="F214" s="8">
        <v>0.0</v>
      </c>
      <c r="G214" s="7">
        <f t="shared" si="1"/>
        <v>6.7</v>
      </c>
      <c r="H214" s="7" t="s">
        <v>14</v>
      </c>
      <c r="I214" s="7" t="s">
        <v>14</v>
      </c>
      <c r="J214" s="13">
        <v>1.0</v>
      </c>
      <c r="K214" s="14" t="s">
        <v>14</v>
      </c>
      <c r="L214" s="13">
        <v>1.0</v>
      </c>
      <c r="N214" s="12"/>
      <c r="Q214" s="9"/>
      <c r="R214" s="11"/>
    </row>
    <row r="215">
      <c r="A215" s="7" t="s">
        <v>226</v>
      </c>
      <c r="B215" s="7" t="s">
        <v>14</v>
      </c>
      <c r="C215" s="7">
        <v>0.0</v>
      </c>
      <c r="D215" s="8">
        <v>15.0</v>
      </c>
      <c r="E215" s="8">
        <v>3.8</v>
      </c>
      <c r="F215" s="8">
        <v>5.0</v>
      </c>
      <c r="G215" s="7">
        <f t="shared" si="1"/>
        <v>23.8</v>
      </c>
      <c r="H215" s="7" t="s">
        <v>14</v>
      </c>
      <c r="I215" s="7" t="s">
        <v>14</v>
      </c>
      <c r="J215" s="13">
        <v>1.0</v>
      </c>
      <c r="K215" s="14" t="s">
        <v>14</v>
      </c>
      <c r="L215" s="13">
        <v>0.0</v>
      </c>
      <c r="Q215" s="9"/>
      <c r="R215" s="11"/>
    </row>
    <row r="216">
      <c r="A216" s="7" t="s">
        <v>227</v>
      </c>
      <c r="B216" s="15" t="s">
        <v>14</v>
      </c>
      <c r="C216" s="7">
        <v>0.0</v>
      </c>
      <c r="D216" s="8">
        <v>0.0</v>
      </c>
      <c r="E216" s="8">
        <v>0.0</v>
      </c>
      <c r="F216" s="8">
        <v>0.0</v>
      </c>
      <c r="G216" s="7">
        <f t="shared" si="1"/>
        <v>0</v>
      </c>
      <c r="H216" s="7" t="s">
        <v>14</v>
      </c>
      <c r="I216" s="7" t="s">
        <v>14</v>
      </c>
      <c r="J216" s="13">
        <v>1.0</v>
      </c>
      <c r="K216" s="14" t="s">
        <v>14</v>
      </c>
      <c r="L216" s="13">
        <v>0.0</v>
      </c>
      <c r="Q216" s="9"/>
    </row>
    <row r="217">
      <c r="A217" s="7" t="s">
        <v>228</v>
      </c>
      <c r="B217" s="7" t="s">
        <v>14</v>
      </c>
      <c r="C217" s="8">
        <v>16.4</v>
      </c>
      <c r="D217" s="8">
        <v>15.0</v>
      </c>
      <c r="E217" s="8">
        <v>6.7</v>
      </c>
      <c r="F217" s="8">
        <v>20.0</v>
      </c>
      <c r="G217" s="7">
        <f t="shared" si="1"/>
        <v>58.1</v>
      </c>
      <c r="H217" s="7" t="s">
        <v>14</v>
      </c>
      <c r="I217" s="7" t="s">
        <v>14</v>
      </c>
      <c r="J217" s="13">
        <v>1.0</v>
      </c>
      <c r="K217" s="14" t="s">
        <v>14</v>
      </c>
      <c r="L217" s="13">
        <v>0.0</v>
      </c>
      <c r="Q217" s="9"/>
    </row>
    <row r="218">
      <c r="A218" s="7" t="s">
        <v>229</v>
      </c>
      <c r="B218" s="7" t="s">
        <v>14</v>
      </c>
      <c r="C218" s="8">
        <v>11.1</v>
      </c>
      <c r="D218" s="8">
        <v>0.0</v>
      </c>
      <c r="E218" s="8">
        <v>5.3</v>
      </c>
      <c r="F218" s="8">
        <v>5.0</v>
      </c>
      <c r="G218" s="7">
        <f t="shared" si="1"/>
        <v>21.4</v>
      </c>
      <c r="H218" s="7" t="s">
        <v>14</v>
      </c>
      <c r="I218" s="7" t="s">
        <v>14</v>
      </c>
      <c r="J218" s="8">
        <v>1.0</v>
      </c>
      <c r="K218" s="7" t="s">
        <v>14</v>
      </c>
      <c r="L218" s="8">
        <v>1.0</v>
      </c>
      <c r="Q218" s="9"/>
    </row>
    <row r="219">
      <c r="A219" s="7" t="s">
        <v>230</v>
      </c>
      <c r="B219" s="7" t="s">
        <v>14</v>
      </c>
      <c r="C219" s="13">
        <v>0.0</v>
      </c>
      <c r="D219" s="8">
        <v>15.0</v>
      </c>
      <c r="E219" s="8">
        <v>0.0</v>
      </c>
      <c r="F219" s="8">
        <v>5.0</v>
      </c>
      <c r="G219" s="7">
        <f t="shared" si="1"/>
        <v>20</v>
      </c>
      <c r="H219" s="7" t="s">
        <v>14</v>
      </c>
      <c r="I219" s="7" t="s">
        <v>14</v>
      </c>
      <c r="J219" s="13">
        <v>1.0</v>
      </c>
      <c r="K219" s="14" t="s">
        <v>14</v>
      </c>
      <c r="L219" s="13">
        <v>0.0</v>
      </c>
      <c r="N219" s="12"/>
      <c r="Q219" s="9"/>
    </row>
    <row r="220">
      <c r="A220" s="7" t="s">
        <v>231</v>
      </c>
      <c r="B220" s="7" t="s">
        <v>14</v>
      </c>
      <c r="C220" s="13">
        <v>0.0</v>
      </c>
      <c r="D220" s="8">
        <v>15.0</v>
      </c>
      <c r="E220" s="8">
        <v>8.2</v>
      </c>
      <c r="F220" s="8">
        <v>5.0</v>
      </c>
      <c r="G220" s="7">
        <f t="shared" si="1"/>
        <v>28.2</v>
      </c>
      <c r="H220" s="7" t="s">
        <v>14</v>
      </c>
      <c r="I220" s="7" t="s">
        <v>14</v>
      </c>
      <c r="J220" s="13">
        <v>1.0</v>
      </c>
      <c r="K220" s="14" t="s">
        <v>14</v>
      </c>
      <c r="L220" s="13">
        <v>0.0</v>
      </c>
      <c r="Q220" s="9"/>
    </row>
    <row r="221">
      <c r="A221" s="7" t="s">
        <v>232</v>
      </c>
      <c r="B221" s="7" t="s">
        <v>14</v>
      </c>
      <c r="C221" s="13">
        <v>0.0</v>
      </c>
      <c r="D221" s="8">
        <v>0.0</v>
      </c>
      <c r="E221" s="8">
        <v>6.0</v>
      </c>
      <c r="F221" s="8">
        <v>5.0</v>
      </c>
      <c r="G221" s="7">
        <f t="shared" si="1"/>
        <v>11</v>
      </c>
      <c r="H221" s="7" t="s">
        <v>14</v>
      </c>
      <c r="I221" s="7" t="s">
        <v>14</v>
      </c>
      <c r="J221" s="8">
        <v>1.0</v>
      </c>
      <c r="K221" s="7" t="s">
        <v>14</v>
      </c>
      <c r="L221" s="8">
        <v>0.0</v>
      </c>
      <c r="Q221" s="9"/>
    </row>
    <row r="222">
      <c r="A222" s="7" t="s">
        <v>233</v>
      </c>
      <c r="B222" s="7" t="s">
        <v>14</v>
      </c>
      <c r="C222" s="13">
        <v>0.0</v>
      </c>
      <c r="D222" s="8">
        <v>15.0</v>
      </c>
      <c r="E222" s="8">
        <v>0.0</v>
      </c>
      <c r="F222" s="8">
        <v>5.0</v>
      </c>
      <c r="G222" s="7">
        <f t="shared" si="1"/>
        <v>20</v>
      </c>
      <c r="H222" s="7" t="s">
        <v>14</v>
      </c>
      <c r="I222" s="7" t="s">
        <v>14</v>
      </c>
      <c r="J222" s="14">
        <v>1.0</v>
      </c>
      <c r="K222" s="14" t="s">
        <v>14</v>
      </c>
      <c r="L222" s="14">
        <v>1.0</v>
      </c>
      <c r="N222" s="12"/>
      <c r="Q222" s="9"/>
    </row>
    <row r="223">
      <c r="A223" s="7" t="s">
        <v>234</v>
      </c>
      <c r="B223" s="15" t="s">
        <v>14</v>
      </c>
      <c r="C223" s="13">
        <v>0.0</v>
      </c>
      <c r="D223" s="8">
        <v>0.0</v>
      </c>
      <c r="E223" s="8">
        <v>4.5</v>
      </c>
      <c r="F223" s="8">
        <v>5.0</v>
      </c>
      <c r="G223" s="7">
        <f t="shared" si="1"/>
        <v>9.5</v>
      </c>
      <c r="H223" s="7" t="s">
        <v>14</v>
      </c>
      <c r="I223" s="7" t="s">
        <v>14</v>
      </c>
      <c r="J223" s="13">
        <v>1.0</v>
      </c>
      <c r="K223" s="14" t="s">
        <v>14</v>
      </c>
      <c r="L223" s="13">
        <v>0.0</v>
      </c>
      <c r="Q223" s="9"/>
    </row>
    <row r="224">
      <c r="A224" s="7" t="s">
        <v>235</v>
      </c>
      <c r="B224" s="7" t="s">
        <v>14</v>
      </c>
      <c r="C224" s="13">
        <v>0.0</v>
      </c>
      <c r="D224" s="8">
        <v>0.0</v>
      </c>
      <c r="E224" s="7">
        <v>15.0</v>
      </c>
      <c r="F224" s="8">
        <v>5.0</v>
      </c>
      <c r="G224" s="7">
        <f t="shared" si="1"/>
        <v>20</v>
      </c>
      <c r="H224" s="7" t="s">
        <v>14</v>
      </c>
      <c r="I224" s="7" t="s">
        <v>14</v>
      </c>
      <c r="J224" s="13">
        <v>1.0</v>
      </c>
      <c r="K224" s="14" t="s">
        <v>14</v>
      </c>
      <c r="L224" s="13">
        <v>1.0</v>
      </c>
      <c r="N224" s="12"/>
      <c r="Q224" s="9"/>
      <c r="R224" s="11"/>
    </row>
    <row r="225">
      <c r="A225" s="7" t="s">
        <v>236</v>
      </c>
      <c r="B225" s="7" t="s">
        <v>14</v>
      </c>
      <c r="C225" s="13">
        <v>11.4</v>
      </c>
      <c r="D225" s="8">
        <v>15.0</v>
      </c>
      <c r="E225" s="8">
        <v>8.2</v>
      </c>
      <c r="F225" s="8">
        <v>5.0</v>
      </c>
      <c r="G225" s="7">
        <f t="shared" si="1"/>
        <v>39.6</v>
      </c>
      <c r="H225" s="7" t="s">
        <v>14</v>
      </c>
      <c r="I225" s="7" t="s">
        <v>14</v>
      </c>
      <c r="J225" s="13">
        <v>2.0</v>
      </c>
      <c r="K225" s="14" t="s">
        <v>14</v>
      </c>
      <c r="L225" s="13">
        <v>2.0</v>
      </c>
      <c r="Q225" s="9"/>
    </row>
    <row r="226">
      <c r="A226" s="7" t="s">
        <v>237</v>
      </c>
      <c r="B226" s="7" t="s">
        <v>14</v>
      </c>
      <c r="C226" s="13">
        <v>0.0</v>
      </c>
      <c r="D226" s="8">
        <v>15.0</v>
      </c>
      <c r="E226" s="8">
        <v>9.7</v>
      </c>
      <c r="F226" s="8">
        <v>5.0</v>
      </c>
      <c r="G226" s="7">
        <f t="shared" si="1"/>
        <v>29.7</v>
      </c>
      <c r="H226" s="7" t="s">
        <v>14</v>
      </c>
      <c r="I226" s="7" t="s">
        <v>14</v>
      </c>
      <c r="J226" s="13">
        <v>1.0</v>
      </c>
      <c r="K226" s="14" t="s">
        <v>14</v>
      </c>
      <c r="L226" s="13">
        <v>1.0</v>
      </c>
      <c r="Q226" s="9"/>
      <c r="R226" s="11"/>
    </row>
    <row r="227">
      <c r="A227" s="7" t="s">
        <v>238</v>
      </c>
      <c r="B227" s="7" t="s">
        <v>14</v>
      </c>
      <c r="C227" s="8">
        <v>15.2</v>
      </c>
      <c r="D227" s="8">
        <v>15.0</v>
      </c>
      <c r="E227" s="8">
        <v>9.0</v>
      </c>
      <c r="F227" s="8">
        <v>15.0</v>
      </c>
      <c r="G227" s="7">
        <f t="shared" si="1"/>
        <v>54.2</v>
      </c>
      <c r="H227" s="7" t="s">
        <v>14</v>
      </c>
      <c r="I227" s="7" t="s">
        <v>14</v>
      </c>
      <c r="J227" s="13">
        <v>1.0</v>
      </c>
      <c r="K227" s="14" t="s">
        <v>14</v>
      </c>
      <c r="L227" s="13">
        <v>0.0</v>
      </c>
      <c r="N227" s="17"/>
      <c r="O227" s="23"/>
      <c r="P227" s="23"/>
      <c r="Q227" s="9"/>
      <c r="R227" s="11"/>
    </row>
    <row r="228">
      <c r="A228" s="7" t="s">
        <v>239</v>
      </c>
      <c r="B228" s="7" t="s">
        <v>14</v>
      </c>
      <c r="C228" s="8">
        <v>14.6</v>
      </c>
      <c r="D228" s="8">
        <v>15.0</v>
      </c>
      <c r="E228" s="8">
        <v>9.7</v>
      </c>
      <c r="F228" s="8">
        <v>15.0</v>
      </c>
      <c r="G228" s="7">
        <f t="shared" si="1"/>
        <v>54.3</v>
      </c>
      <c r="H228" s="7" t="s">
        <v>14</v>
      </c>
      <c r="I228" s="7" t="s">
        <v>14</v>
      </c>
      <c r="J228" s="13">
        <v>1.0</v>
      </c>
      <c r="K228" s="14" t="s">
        <v>14</v>
      </c>
      <c r="L228" s="13">
        <v>1.0</v>
      </c>
      <c r="Q228" s="9"/>
    </row>
    <row r="229">
      <c r="A229" s="7" t="s">
        <v>240</v>
      </c>
      <c r="B229" s="7" t="s">
        <v>14</v>
      </c>
      <c r="C229" s="7">
        <v>0.0</v>
      </c>
      <c r="D229" s="8">
        <v>15.0</v>
      </c>
      <c r="E229" s="8">
        <v>9.0</v>
      </c>
      <c r="F229" s="8">
        <v>0.0</v>
      </c>
      <c r="G229" s="7">
        <f t="shared" si="1"/>
        <v>24</v>
      </c>
      <c r="H229" s="7" t="s">
        <v>14</v>
      </c>
      <c r="I229" s="7" t="s">
        <v>14</v>
      </c>
      <c r="J229" s="13">
        <v>1.0</v>
      </c>
      <c r="K229" s="14" t="s">
        <v>14</v>
      </c>
      <c r="L229" s="13">
        <v>0.0</v>
      </c>
      <c r="Q229" s="9"/>
    </row>
    <row r="230">
      <c r="A230" s="7" t="s">
        <v>241</v>
      </c>
      <c r="B230" s="7" t="s">
        <v>14</v>
      </c>
      <c r="C230" s="7">
        <v>0.0</v>
      </c>
      <c r="D230" s="8">
        <v>15.0</v>
      </c>
      <c r="E230" s="8">
        <v>6.7</v>
      </c>
      <c r="F230" s="8">
        <v>0.0</v>
      </c>
      <c r="G230" s="7">
        <f t="shared" si="1"/>
        <v>21.7</v>
      </c>
      <c r="H230" s="7" t="s">
        <v>14</v>
      </c>
      <c r="I230" s="7" t="s">
        <v>14</v>
      </c>
      <c r="J230" s="13">
        <v>1.0</v>
      </c>
      <c r="K230" s="14" t="s">
        <v>14</v>
      </c>
      <c r="L230" s="13">
        <v>0.0</v>
      </c>
      <c r="Q230" s="9"/>
    </row>
    <row r="231">
      <c r="A231" s="7" t="s">
        <v>242</v>
      </c>
      <c r="B231" s="7" t="s">
        <v>14</v>
      </c>
      <c r="C231" s="7">
        <v>0.0</v>
      </c>
      <c r="D231" s="8">
        <v>15.0</v>
      </c>
      <c r="E231" s="8">
        <v>0.0</v>
      </c>
      <c r="F231" s="8">
        <v>5.0</v>
      </c>
      <c r="G231" s="7">
        <f t="shared" si="1"/>
        <v>20</v>
      </c>
      <c r="H231" s="7" t="s">
        <v>14</v>
      </c>
      <c r="I231" s="7" t="s">
        <v>14</v>
      </c>
      <c r="J231" s="13">
        <v>1.0</v>
      </c>
      <c r="K231" s="14" t="s">
        <v>14</v>
      </c>
      <c r="L231" s="13">
        <v>1.0</v>
      </c>
      <c r="Q231" s="9"/>
    </row>
    <row r="232">
      <c r="A232" s="7" t="s">
        <v>243</v>
      </c>
      <c r="B232" s="7" t="s">
        <v>14</v>
      </c>
      <c r="C232" s="7">
        <v>0.0</v>
      </c>
      <c r="D232" s="8">
        <v>15.0</v>
      </c>
      <c r="E232" s="8">
        <v>0.0</v>
      </c>
      <c r="F232" s="8">
        <v>0.0</v>
      </c>
      <c r="G232" s="7">
        <f t="shared" si="1"/>
        <v>15</v>
      </c>
      <c r="H232" s="7" t="s">
        <v>14</v>
      </c>
      <c r="I232" s="7" t="s">
        <v>14</v>
      </c>
      <c r="J232" s="13">
        <v>1.0</v>
      </c>
      <c r="K232" s="14" t="s">
        <v>14</v>
      </c>
      <c r="L232" s="13">
        <v>1.0</v>
      </c>
      <c r="N232" s="12"/>
      <c r="Q232" s="9"/>
      <c r="R232" s="11"/>
    </row>
    <row r="233">
      <c r="A233" s="7" t="s">
        <v>244</v>
      </c>
      <c r="B233" s="7" t="s">
        <v>14</v>
      </c>
      <c r="C233" s="7">
        <v>0.0</v>
      </c>
      <c r="D233" s="8">
        <v>15.0</v>
      </c>
      <c r="E233" s="8">
        <v>10.5</v>
      </c>
      <c r="F233" s="8">
        <v>5.0</v>
      </c>
      <c r="G233" s="7">
        <f t="shared" si="1"/>
        <v>30.5</v>
      </c>
      <c r="H233" s="7" t="s">
        <v>14</v>
      </c>
      <c r="I233" s="7" t="s">
        <v>14</v>
      </c>
      <c r="J233" s="13">
        <v>0.0</v>
      </c>
      <c r="K233" s="14" t="s">
        <v>14</v>
      </c>
      <c r="L233" s="13">
        <v>1.0</v>
      </c>
      <c r="N233" s="12"/>
      <c r="Q233" s="9"/>
      <c r="R233" s="11"/>
    </row>
    <row r="234">
      <c r="A234" s="7" t="s">
        <v>245</v>
      </c>
      <c r="B234" s="7" t="s">
        <v>14</v>
      </c>
      <c r="C234" s="7">
        <v>0.0</v>
      </c>
      <c r="D234" s="8">
        <v>0.0</v>
      </c>
      <c r="E234" s="8">
        <v>7.5</v>
      </c>
      <c r="F234" s="8">
        <v>5.0</v>
      </c>
      <c r="G234" s="7">
        <f t="shared" si="1"/>
        <v>12.5</v>
      </c>
      <c r="H234" s="7" t="s">
        <v>14</v>
      </c>
      <c r="I234" s="7" t="s">
        <v>14</v>
      </c>
      <c r="J234" s="14">
        <v>2.0</v>
      </c>
      <c r="K234" s="14" t="s">
        <v>14</v>
      </c>
      <c r="L234" s="14">
        <v>2.0</v>
      </c>
      <c r="Q234" s="9"/>
    </row>
    <row r="235">
      <c r="A235" s="7" t="s">
        <v>246</v>
      </c>
      <c r="B235" s="7" t="s">
        <v>14</v>
      </c>
      <c r="C235" s="7">
        <v>15.3</v>
      </c>
      <c r="D235" s="8">
        <v>0.0</v>
      </c>
      <c r="E235" s="8">
        <v>6.7</v>
      </c>
      <c r="F235" s="8">
        <v>5.0</v>
      </c>
      <c r="G235" s="7">
        <f t="shared" si="1"/>
        <v>27</v>
      </c>
      <c r="H235" s="7" t="s">
        <v>14</v>
      </c>
      <c r="I235" s="7" t="s">
        <v>14</v>
      </c>
      <c r="J235" s="8">
        <v>3.0</v>
      </c>
      <c r="K235" s="7" t="s">
        <v>14</v>
      </c>
      <c r="L235" s="8">
        <v>3.0</v>
      </c>
      <c r="Q235" s="9"/>
    </row>
    <row r="236">
      <c r="A236" s="7" t="s">
        <v>247</v>
      </c>
      <c r="B236" s="15" t="s">
        <v>14</v>
      </c>
      <c r="C236" s="7">
        <v>0.0</v>
      </c>
      <c r="D236" s="8">
        <v>15.0</v>
      </c>
      <c r="E236" s="8">
        <v>7.5</v>
      </c>
      <c r="F236" s="8">
        <v>0.0</v>
      </c>
      <c r="G236" s="7">
        <f t="shared" si="1"/>
        <v>22.5</v>
      </c>
      <c r="H236" s="7" t="s">
        <v>14</v>
      </c>
      <c r="I236" s="7" t="s">
        <v>14</v>
      </c>
      <c r="J236" s="13">
        <v>1.0</v>
      </c>
      <c r="K236" s="14" t="s">
        <v>14</v>
      </c>
      <c r="L236" s="13">
        <v>1.0</v>
      </c>
      <c r="Q236" s="9"/>
    </row>
    <row r="237">
      <c r="A237" s="7" t="s">
        <v>248</v>
      </c>
      <c r="B237" s="7" t="s">
        <v>14</v>
      </c>
      <c r="C237" s="7">
        <v>0.0</v>
      </c>
      <c r="D237" s="8">
        <v>15.0</v>
      </c>
      <c r="E237" s="8">
        <v>8.2</v>
      </c>
      <c r="F237" s="8">
        <v>5.0</v>
      </c>
      <c r="G237" s="7">
        <f t="shared" si="1"/>
        <v>28.2</v>
      </c>
      <c r="H237" s="7" t="s">
        <v>14</v>
      </c>
      <c r="I237" s="7" t="s">
        <v>14</v>
      </c>
      <c r="J237" s="13">
        <v>1.0</v>
      </c>
      <c r="K237" s="14" t="s">
        <v>14</v>
      </c>
      <c r="L237" s="13">
        <v>1.0</v>
      </c>
      <c r="Q237" s="9"/>
    </row>
    <row r="238">
      <c r="A238" s="7" t="s">
        <v>249</v>
      </c>
      <c r="B238" s="7" t="s">
        <v>14</v>
      </c>
      <c r="C238" s="13">
        <v>9.3</v>
      </c>
      <c r="D238" s="8">
        <v>0.0</v>
      </c>
      <c r="E238" s="8">
        <v>0.0</v>
      </c>
      <c r="F238" s="8">
        <v>5.0</v>
      </c>
      <c r="G238" s="7">
        <f t="shared" si="1"/>
        <v>14.3</v>
      </c>
      <c r="H238" s="7" t="s">
        <v>14</v>
      </c>
      <c r="I238" s="7" t="s">
        <v>14</v>
      </c>
      <c r="J238" s="13">
        <v>2.0</v>
      </c>
      <c r="K238" s="14" t="s">
        <v>14</v>
      </c>
      <c r="L238" s="13">
        <v>0.0</v>
      </c>
      <c r="Q238" s="9"/>
      <c r="R238" s="11"/>
    </row>
    <row r="239">
      <c r="A239" s="7" t="s">
        <v>250</v>
      </c>
      <c r="B239" s="7" t="s">
        <v>14</v>
      </c>
      <c r="C239" s="8">
        <v>20.0</v>
      </c>
      <c r="D239" s="8">
        <v>0.0</v>
      </c>
      <c r="E239" s="8">
        <v>8.2</v>
      </c>
      <c r="F239" s="8">
        <v>5.0</v>
      </c>
      <c r="G239" s="7">
        <f t="shared" si="1"/>
        <v>33.2</v>
      </c>
      <c r="H239" s="7" t="s">
        <v>14</v>
      </c>
      <c r="I239" s="7" t="s">
        <v>14</v>
      </c>
      <c r="J239" s="8">
        <v>2.0</v>
      </c>
      <c r="K239" s="7" t="s">
        <v>14</v>
      </c>
      <c r="L239" s="8">
        <v>0.0</v>
      </c>
      <c r="Q239" s="11"/>
    </row>
    <row r="240">
      <c r="A240" s="7" t="s">
        <v>251</v>
      </c>
      <c r="B240" s="7" t="s">
        <v>14</v>
      </c>
      <c r="C240" s="13">
        <v>20.0</v>
      </c>
      <c r="D240" s="8">
        <v>15.0</v>
      </c>
      <c r="E240" s="25">
        <v>7.5</v>
      </c>
      <c r="F240" s="8">
        <v>5.0</v>
      </c>
      <c r="G240" s="7">
        <f t="shared" si="1"/>
        <v>47.5</v>
      </c>
      <c r="H240" s="7" t="s">
        <v>14</v>
      </c>
      <c r="I240" s="7" t="s">
        <v>14</v>
      </c>
      <c r="J240" s="13">
        <v>1.0</v>
      </c>
      <c r="K240" s="14" t="s">
        <v>14</v>
      </c>
      <c r="L240" s="13">
        <v>0.0</v>
      </c>
      <c r="N240" s="12"/>
      <c r="Q240" s="9"/>
      <c r="R240" s="11"/>
    </row>
    <row r="241">
      <c r="A241" s="7" t="s">
        <v>252</v>
      </c>
      <c r="B241" s="7" t="s">
        <v>14</v>
      </c>
      <c r="C241" s="13">
        <v>0.0</v>
      </c>
      <c r="D241" s="8">
        <v>15.0</v>
      </c>
      <c r="E241" s="8">
        <v>5.3</v>
      </c>
      <c r="F241" s="8">
        <v>5.0</v>
      </c>
      <c r="G241" s="7">
        <f t="shared" si="1"/>
        <v>25.3</v>
      </c>
      <c r="H241" s="7" t="s">
        <v>14</v>
      </c>
      <c r="I241" s="7" t="s">
        <v>14</v>
      </c>
      <c r="J241" s="13">
        <v>1.0</v>
      </c>
      <c r="K241" s="14" t="s">
        <v>14</v>
      </c>
      <c r="L241" s="13">
        <v>0.0</v>
      </c>
      <c r="N241" s="12"/>
      <c r="Q241" s="9"/>
      <c r="R241" s="11"/>
    </row>
    <row r="242">
      <c r="A242" s="7" t="s">
        <v>253</v>
      </c>
      <c r="B242" s="7" t="s">
        <v>14</v>
      </c>
      <c r="C242" s="7">
        <v>0.0</v>
      </c>
      <c r="D242" s="8">
        <v>0.0</v>
      </c>
      <c r="E242" s="8">
        <v>6.7</v>
      </c>
      <c r="F242" s="8">
        <v>5.0</v>
      </c>
      <c r="G242" s="7">
        <f t="shared" si="1"/>
        <v>11.7</v>
      </c>
      <c r="H242" s="7" t="s">
        <v>14</v>
      </c>
      <c r="I242" s="7" t="s">
        <v>14</v>
      </c>
      <c r="J242" s="13">
        <v>1.0</v>
      </c>
      <c r="K242" s="14" t="s">
        <v>14</v>
      </c>
      <c r="L242" s="13">
        <v>0.0</v>
      </c>
      <c r="Q242" s="9"/>
      <c r="R242" s="11"/>
    </row>
    <row r="243">
      <c r="A243" s="7" t="s">
        <v>254</v>
      </c>
      <c r="B243" s="7" t="s">
        <v>14</v>
      </c>
      <c r="C243" s="13">
        <v>5.5</v>
      </c>
      <c r="D243" s="8">
        <v>15.0</v>
      </c>
      <c r="E243" s="8">
        <v>6.0</v>
      </c>
      <c r="F243" s="8">
        <v>5.0</v>
      </c>
      <c r="G243" s="7">
        <f t="shared" si="1"/>
        <v>31.5</v>
      </c>
      <c r="H243" s="7" t="s">
        <v>14</v>
      </c>
      <c r="I243" s="7" t="s">
        <v>14</v>
      </c>
      <c r="J243" s="13">
        <v>1.0</v>
      </c>
      <c r="K243" s="14" t="s">
        <v>14</v>
      </c>
      <c r="L243" s="13">
        <v>0.0</v>
      </c>
      <c r="N243" s="12"/>
      <c r="Q243" s="9"/>
      <c r="R243" s="11"/>
    </row>
    <row r="244">
      <c r="A244" s="7" t="s">
        <v>255</v>
      </c>
      <c r="B244" s="7" t="s">
        <v>14</v>
      </c>
      <c r="C244" s="7">
        <v>0.0</v>
      </c>
      <c r="D244" s="8">
        <v>15.0</v>
      </c>
      <c r="E244" s="8">
        <v>9.7</v>
      </c>
      <c r="F244" s="8">
        <v>0.0</v>
      </c>
      <c r="G244" s="7">
        <f t="shared" si="1"/>
        <v>24.7</v>
      </c>
      <c r="H244" s="7" t="s">
        <v>14</v>
      </c>
      <c r="I244" s="7" t="s">
        <v>14</v>
      </c>
      <c r="J244" s="13">
        <v>1.0</v>
      </c>
      <c r="K244" s="14" t="s">
        <v>14</v>
      </c>
      <c r="L244" s="13">
        <v>0.0</v>
      </c>
      <c r="N244" s="17"/>
      <c r="Q244" s="9"/>
      <c r="R244" s="11"/>
    </row>
    <row r="245">
      <c r="A245" s="7" t="s">
        <v>256</v>
      </c>
      <c r="B245" s="7" t="s">
        <v>14</v>
      </c>
      <c r="C245" s="7">
        <v>0.0</v>
      </c>
      <c r="D245" s="8">
        <v>15.0</v>
      </c>
      <c r="E245" s="8">
        <v>0.0</v>
      </c>
      <c r="F245" s="8">
        <v>5.0</v>
      </c>
      <c r="G245" s="7">
        <f t="shared" si="1"/>
        <v>20</v>
      </c>
      <c r="H245" s="7" t="s">
        <v>14</v>
      </c>
      <c r="I245" s="7" t="s">
        <v>14</v>
      </c>
      <c r="J245" s="13">
        <v>1.0</v>
      </c>
      <c r="K245" s="14" t="s">
        <v>14</v>
      </c>
      <c r="L245" s="13">
        <v>1.0</v>
      </c>
      <c r="Q245" s="9"/>
    </row>
    <row r="246">
      <c r="A246" s="7" t="s">
        <v>257</v>
      </c>
      <c r="B246" s="7" t="s">
        <v>14</v>
      </c>
      <c r="C246" s="7">
        <v>0.0</v>
      </c>
      <c r="D246" s="8">
        <v>0.0</v>
      </c>
      <c r="E246" s="8">
        <v>12.0</v>
      </c>
      <c r="F246" s="8">
        <v>5.0</v>
      </c>
      <c r="G246" s="7">
        <f t="shared" si="1"/>
        <v>17</v>
      </c>
      <c r="H246" s="7" t="s">
        <v>14</v>
      </c>
      <c r="I246" s="7" t="s">
        <v>14</v>
      </c>
      <c r="J246" s="13">
        <v>1.0</v>
      </c>
      <c r="K246" s="14" t="s">
        <v>14</v>
      </c>
      <c r="L246" s="13">
        <v>0.0</v>
      </c>
      <c r="Q246" s="9"/>
      <c r="R246" s="11"/>
    </row>
    <row r="247">
      <c r="A247" s="7" t="s">
        <v>258</v>
      </c>
      <c r="B247" s="15" t="s">
        <v>14</v>
      </c>
      <c r="C247" s="8">
        <v>20.0</v>
      </c>
      <c r="D247" s="8">
        <v>15.0</v>
      </c>
      <c r="E247" s="8">
        <v>9.0</v>
      </c>
      <c r="F247" s="8">
        <v>20.0</v>
      </c>
      <c r="G247" s="7">
        <f t="shared" si="1"/>
        <v>64</v>
      </c>
      <c r="H247" s="7" t="s">
        <v>14</v>
      </c>
      <c r="I247" s="7" t="s">
        <v>14</v>
      </c>
      <c r="J247" s="13">
        <v>2.0</v>
      </c>
      <c r="K247" s="14" t="s">
        <v>14</v>
      </c>
      <c r="L247" s="13">
        <v>2.0</v>
      </c>
      <c r="Q247" s="9"/>
      <c r="R247" s="11"/>
    </row>
    <row r="248">
      <c r="A248" s="7" t="s">
        <v>259</v>
      </c>
      <c r="B248" s="7" t="s">
        <v>14</v>
      </c>
      <c r="C248" s="13">
        <v>0.0</v>
      </c>
      <c r="D248" s="8">
        <v>15.0</v>
      </c>
      <c r="E248" s="8">
        <v>0.0</v>
      </c>
      <c r="F248" s="8">
        <v>5.0</v>
      </c>
      <c r="G248" s="7">
        <f t="shared" si="1"/>
        <v>20</v>
      </c>
      <c r="H248" s="7" t="s">
        <v>14</v>
      </c>
      <c r="I248" s="7" t="s">
        <v>14</v>
      </c>
      <c r="J248" s="13">
        <v>1.0</v>
      </c>
      <c r="K248" s="14" t="s">
        <v>14</v>
      </c>
      <c r="L248" s="13">
        <v>0.0</v>
      </c>
      <c r="N248" s="12"/>
      <c r="O248" s="23"/>
      <c r="P248" s="23"/>
      <c r="Q248" s="9"/>
      <c r="R248" s="11"/>
    </row>
    <row r="249">
      <c r="A249" s="7" t="s">
        <v>260</v>
      </c>
      <c r="B249" s="7" t="s">
        <v>14</v>
      </c>
      <c r="C249" s="7">
        <v>0.0</v>
      </c>
      <c r="D249" s="8">
        <v>15.0</v>
      </c>
      <c r="E249" s="8">
        <v>6.0</v>
      </c>
      <c r="F249" s="8">
        <v>5.0</v>
      </c>
      <c r="G249" s="7">
        <f t="shared" si="1"/>
        <v>26</v>
      </c>
      <c r="H249" s="7" t="s">
        <v>14</v>
      </c>
      <c r="I249" s="7" t="s">
        <v>14</v>
      </c>
      <c r="J249" s="14">
        <v>1.0</v>
      </c>
      <c r="K249" s="14" t="s">
        <v>14</v>
      </c>
      <c r="L249" s="14">
        <v>0.0</v>
      </c>
      <c r="Q249" s="9"/>
      <c r="R249" s="11"/>
    </row>
    <row r="250">
      <c r="A250" s="7" t="s">
        <v>261</v>
      </c>
      <c r="B250" s="7" t="s">
        <v>14</v>
      </c>
      <c r="C250" s="7">
        <v>0.0</v>
      </c>
      <c r="D250" s="8">
        <v>0.0</v>
      </c>
      <c r="E250" s="7">
        <v>12.0</v>
      </c>
      <c r="F250" s="8">
        <v>5.0</v>
      </c>
      <c r="G250" s="7">
        <f t="shared" si="1"/>
        <v>17</v>
      </c>
      <c r="H250" s="7" t="s">
        <v>14</v>
      </c>
      <c r="I250" s="7" t="s">
        <v>14</v>
      </c>
      <c r="J250" s="13">
        <v>1.0</v>
      </c>
      <c r="K250" s="14" t="s">
        <v>14</v>
      </c>
      <c r="L250" s="13">
        <v>1.0</v>
      </c>
      <c r="Q250" s="9"/>
      <c r="R250" s="26"/>
    </row>
    <row r="251">
      <c r="A251" s="7" t="s">
        <v>262</v>
      </c>
      <c r="B251" s="15" t="s">
        <v>14</v>
      </c>
      <c r="C251" s="7">
        <v>12.4</v>
      </c>
      <c r="D251" s="8">
        <v>0.0</v>
      </c>
      <c r="E251" s="8">
        <v>6.0</v>
      </c>
      <c r="F251" s="8">
        <v>0.0</v>
      </c>
      <c r="G251" s="7">
        <f t="shared" si="1"/>
        <v>18.4</v>
      </c>
      <c r="H251" s="7" t="s">
        <v>14</v>
      </c>
      <c r="I251" s="7" t="s">
        <v>14</v>
      </c>
      <c r="J251" s="13">
        <v>1.0</v>
      </c>
      <c r="K251" s="14" t="s">
        <v>14</v>
      </c>
      <c r="L251" s="13">
        <v>0.0</v>
      </c>
      <c r="Q251" s="9"/>
    </row>
    <row r="252">
      <c r="A252" s="7" t="s">
        <v>263</v>
      </c>
      <c r="B252" s="7" t="s">
        <v>14</v>
      </c>
      <c r="C252" s="8">
        <v>17.0</v>
      </c>
      <c r="D252" s="8">
        <v>15.0</v>
      </c>
      <c r="E252" s="8">
        <v>6.7</v>
      </c>
      <c r="F252" s="8">
        <v>5.0</v>
      </c>
      <c r="G252" s="7">
        <f t="shared" si="1"/>
        <v>43.7</v>
      </c>
      <c r="H252" s="7" t="s">
        <v>14</v>
      </c>
      <c r="I252" s="7" t="s">
        <v>14</v>
      </c>
      <c r="J252" s="13">
        <v>1.0</v>
      </c>
      <c r="K252" s="14" t="s">
        <v>14</v>
      </c>
      <c r="L252" s="13">
        <v>0.0</v>
      </c>
      <c r="Q252" s="9"/>
      <c r="R252" s="11"/>
    </row>
    <row r="253">
      <c r="A253" s="7" t="s">
        <v>264</v>
      </c>
      <c r="B253" s="7" t="s">
        <v>14</v>
      </c>
      <c r="C253" s="7">
        <v>0.0</v>
      </c>
      <c r="D253" s="8">
        <v>15.0</v>
      </c>
      <c r="E253" s="8">
        <v>0.0</v>
      </c>
      <c r="F253" s="8">
        <v>5.0</v>
      </c>
      <c r="G253" s="7">
        <f t="shared" si="1"/>
        <v>20</v>
      </c>
      <c r="H253" s="7" t="s">
        <v>14</v>
      </c>
      <c r="I253" s="7" t="s">
        <v>14</v>
      </c>
      <c r="J253" s="8">
        <v>2.0</v>
      </c>
      <c r="K253" s="7" t="s">
        <v>14</v>
      </c>
      <c r="L253" s="8">
        <v>2.0</v>
      </c>
      <c r="Q253" s="11"/>
    </row>
    <row r="254">
      <c r="A254" s="7" t="s">
        <v>265</v>
      </c>
      <c r="B254" s="7" t="s">
        <v>14</v>
      </c>
      <c r="C254" s="13">
        <v>15.1</v>
      </c>
      <c r="D254" s="8">
        <v>0.0</v>
      </c>
      <c r="E254" s="8">
        <v>6.7</v>
      </c>
      <c r="F254" s="8">
        <v>5.0</v>
      </c>
      <c r="G254" s="7">
        <f t="shared" si="1"/>
        <v>26.8</v>
      </c>
      <c r="H254" s="7" t="s">
        <v>14</v>
      </c>
      <c r="I254" s="7" t="s">
        <v>14</v>
      </c>
      <c r="J254" s="14">
        <v>2.0</v>
      </c>
      <c r="K254" s="14" t="s">
        <v>14</v>
      </c>
      <c r="L254" s="14">
        <v>0.0</v>
      </c>
      <c r="N254" s="12"/>
      <c r="Q254" s="9"/>
    </row>
    <row r="255">
      <c r="A255" s="7" t="s">
        <v>266</v>
      </c>
      <c r="B255" s="15" t="s">
        <v>14</v>
      </c>
      <c r="C255" s="7">
        <v>0.0</v>
      </c>
      <c r="D255" s="8">
        <v>15.0</v>
      </c>
      <c r="E255" s="8">
        <v>3.8</v>
      </c>
      <c r="F255" s="8">
        <v>5.0</v>
      </c>
      <c r="G255" s="7">
        <f t="shared" si="1"/>
        <v>23.8</v>
      </c>
      <c r="H255" s="7" t="s">
        <v>14</v>
      </c>
      <c r="I255" s="7" t="s">
        <v>14</v>
      </c>
      <c r="J255" s="13">
        <v>2.0</v>
      </c>
      <c r="K255" s="14" t="s">
        <v>14</v>
      </c>
      <c r="L255" s="13">
        <v>2.0</v>
      </c>
      <c r="Q255" s="9"/>
    </row>
    <row r="256">
      <c r="A256" s="7" t="s">
        <v>267</v>
      </c>
      <c r="B256" s="7" t="s">
        <v>14</v>
      </c>
      <c r="C256" s="7">
        <v>0.0</v>
      </c>
      <c r="D256" s="8">
        <v>0.0</v>
      </c>
      <c r="E256" s="8">
        <v>10.5</v>
      </c>
      <c r="F256" s="8">
        <v>5.0</v>
      </c>
      <c r="G256" s="7">
        <f t="shared" si="1"/>
        <v>15.5</v>
      </c>
      <c r="H256" s="7" t="s">
        <v>14</v>
      </c>
      <c r="I256" s="7" t="s">
        <v>14</v>
      </c>
      <c r="J256" s="14">
        <v>2.0</v>
      </c>
      <c r="K256" s="14" t="s">
        <v>14</v>
      </c>
      <c r="L256" s="14">
        <v>2.0</v>
      </c>
      <c r="Q256" s="9"/>
      <c r="R256" s="11"/>
    </row>
    <row r="257">
      <c r="A257" s="7" t="s">
        <v>268</v>
      </c>
      <c r="B257" s="7" t="s">
        <v>14</v>
      </c>
      <c r="C257" s="7">
        <v>0.0</v>
      </c>
      <c r="D257" s="8">
        <v>15.0</v>
      </c>
      <c r="E257" s="8">
        <v>0.0</v>
      </c>
      <c r="F257" s="8">
        <v>5.0</v>
      </c>
      <c r="G257" s="7">
        <f t="shared" si="1"/>
        <v>20</v>
      </c>
      <c r="H257" s="7" t="s">
        <v>14</v>
      </c>
      <c r="I257" s="7" t="s">
        <v>14</v>
      </c>
      <c r="J257" s="13">
        <v>1.0</v>
      </c>
      <c r="K257" s="14" t="s">
        <v>14</v>
      </c>
      <c r="L257" s="13">
        <v>0.0</v>
      </c>
      <c r="Q257" s="9"/>
    </row>
    <row r="258">
      <c r="A258" s="7" t="s">
        <v>269</v>
      </c>
      <c r="B258" s="7" t="s">
        <v>14</v>
      </c>
      <c r="C258" s="13">
        <v>15.1</v>
      </c>
      <c r="D258" s="8">
        <v>15.0</v>
      </c>
      <c r="E258" s="8">
        <v>5.3</v>
      </c>
      <c r="F258" s="8">
        <v>15.0</v>
      </c>
      <c r="G258" s="7">
        <f t="shared" si="1"/>
        <v>50.4</v>
      </c>
      <c r="H258" s="7" t="s">
        <v>14</v>
      </c>
      <c r="I258" s="7" t="s">
        <v>14</v>
      </c>
      <c r="J258" s="13">
        <v>2.0</v>
      </c>
      <c r="K258" s="14" t="s">
        <v>14</v>
      </c>
      <c r="L258" s="13">
        <v>2.0</v>
      </c>
      <c r="N258" s="12"/>
      <c r="Q258" s="9"/>
      <c r="R258" s="11"/>
    </row>
    <row r="259">
      <c r="A259" s="7" t="s">
        <v>270</v>
      </c>
      <c r="B259" s="7" t="s">
        <v>14</v>
      </c>
      <c r="C259" s="13">
        <v>0.0</v>
      </c>
      <c r="D259" s="8">
        <v>15.0</v>
      </c>
      <c r="E259" s="8">
        <v>10.5</v>
      </c>
      <c r="F259" s="8">
        <v>5.0</v>
      </c>
      <c r="G259" s="7">
        <f t="shared" si="1"/>
        <v>30.5</v>
      </c>
      <c r="H259" s="7" t="s">
        <v>14</v>
      </c>
      <c r="I259" s="7" t="s">
        <v>14</v>
      </c>
      <c r="J259" s="8">
        <v>1.0</v>
      </c>
      <c r="K259" s="7" t="s">
        <v>14</v>
      </c>
      <c r="L259" s="8">
        <v>0.0</v>
      </c>
      <c r="N259" s="12"/>
      <c r="Q259" s="11"/>
    </row>
    <row r="260">
      <c r="A260" s="7" t="s">
        <v>271</v>
      </c>
      <c r="B260" s="7" t="s">
        <v>14</v>
      </c>
      <c r="C260" s="13">
        <v>0.0</v>
      </c>
      <c r="D260" s="8">
        <v>0.0</v>
      </c>
      <c r="E260" s="8">
        <v>9.0</v>
      </c>
      <c r="F260" s="8">
        <v>0.0</v>
      </c>
      <c r="G260" s="7">
        <f t="shared" si="1"/>
        <v>9</v>
      </c>
      <c r="H260" s="7" t="s">
        <v>14</v>
      </c>
      <c r="I260" s="7" t="s">
        <v>14</v>
      </c>
      <c r="J260" s="13">
        <v>1.0</v>
      </c>
      <c r="K260" s="14" t="s">
        <v>14</v>
      </c>
      <c r="L260" s="13">
        <v>0.0</v>
      </c>
      <c r="N260" s="12"/>
      <c r="O260" s="23"/>
      <c r="Q260" s="9"/>
      <c r="R260" s="11"/>
    </row>
    <row r="261">
      <c r="A261" s="7" t="s">
        <v>272</v>
      </c>
      <c r="B261" s="7" t="s">
        <v>14</v>
      </c>
      <c r="C261" s="13">
        <v>15.4</v>
      </c>
      <c r="D261" s="8">
        <v>15.0</v>
      </c>
      <c r="E261" s="8">
        <v>5.3</v>
      </c>
      <c r="F261" s="8">
        <v>5.0</v>
      </c>
      <c r="G261" s="7">
        <f t="shared" si="1"/>
        <v>40.7</v>
      </c>
      <c r="H261" s="7" t="s">
        <v>14</v>
      </c>
      <c r="I261" s="7" t="s">
        <v>14</v>
      </c>
      <c r="J261" s="13">
        <v>1.0</v>
      </c>
      <c r="K261" s="14" t="s">
        <v>14</v>
      </c>
      <c r="L261" s="13">
        <v>1.0</v>
      </c>
      <c r="N261" s="12"/>
      <c r="Q261" s="9"/>
      <c r="R261" s="11"/>
    </row>
    <row r="262">
      <c r="A262" s="7" t="s">
        <v>273</v>
      </c>
      <c r="B262" s="7" t="s">
        <v>14</v>
      </c>
      <c r="C262" s="7">
        <v>0.0</v>
      </c>
      <c r="D262" s="8">
        <v>15.0</v>
      </c>
      <c r="E262" s="27">
        <v>6.0</v>
      </c>
      <c r="F262" s="8">
        <v>5.0</v>
      </c>
      <c r="G262" s="7">
        <f t="shared" si="1"/>
        <v>26</v>
      </c>
      <c r="H262" s="7" t="s">
        <v>14</v>
      </c>
      <c r="I262" s="7" t="s">
        <v>14</v>
      </c>
      <c r="J262" s="8">
        <v>1.0</v>
      </c>
      <c r="K262" s="7" t="s">
        <v>14</v>
      </c>
      <c r="L262" s="8">
        <v>0.0</v>
      </c>
      <c r="Q262" s="9"/>
    </row>
    <row r="263">
      <c r="A263" s="7" t="s">
        <v>274</v>
      </c>
      <c r="B263" s="7" t="s">
        <v>14</v>
      </c>
      <c r="C263" s="13">
        <v>15.2</v>
      </c>
      <c r="D263" s="8">
        <v>15.0</v>
      </c>
      <c r="E263" s="8">
        <v>0.0</v>
      </c>
      <c r="F263" s="8">
        <v>5.0</v>
      </c>
      <c r="G263" s="7">
        <f t="shared" si="1"/>
        <v>35.2</v>
      </c>
      <c r="H263" s="7" t="s">
        <v>14</v>
      </c>
      <c r="I263" s="7" t="s">
        <v>14</v>
      </c>
      <c r="J263" s="13">
        <v>1.0</v>
      </c>
      <c r="K263" s="14" t="s">
        <v>14</v>
      </c>
      <c r="L263" s="13">
        <v>1.0</v>
      </c>
      <c r="N263" s="12"/>
      <c r="Q263" s="9"/>
      <c r="R263" s="11"/>
    </row>
    <row r="264">
      <c r="A264" s="7" t="s">
        <v>275</v>
      </c>
      <c r="B264" s="7" t="s">
        <v>14</v>
      </c>
      <c r="C264" s="18">
        <v>0.0</v>
      </c>
      <c r="D264" s="8">
        <v>0.0</v>
      </c>
      <c r="E264" s="8">
        <v>0.0</v>
      </c>
      <c r="F264" s="8">
        <v>5.0</v>
      </c>
      <c r="G264" s="19">
        <f t="shared" si="1"/>
        <v>5</v>
      </c>
      <c r="H264" s="7" t="s">
        <v>14</v>
      </c>
      <c r="I264" s="7" t="s">
        <v>14</v>
      </c>
      <c r="J264" s="14">
        <v>1.0</v>
      </c>
      <c r="K264" s="14" t="s">
        <v>14</v>
      </c>
      <c r="L264" s="14">
        <v>1.0</v>
      </c>
      <c r="N264" s="12"/>
      <c r="Q264" s="9"/>
    </row>
    <row r="265">
      <c r="A265" s="7" t="s">
        <v>276</v>
      </c>
      <c r="B265" s="7" t="s">
        <v>14</v>
      </c>
      <c r="C265" s="19">
        <v>0.0</v>
      </c>
      <c r="D265" s="8">
        <v>0.0</v>
      </c>
      <c r="E265" s="8">
        <v>6.0</v>
      </c>
      <c r="F265" s="8">
        <v>5.0</v>
      </c>
      <c r="G265" s="19">
        <f t="shared" si="1"/>
        <v>11</v>
      </c>
      <c r="H265" s="7" t="s">
        <v>14</v>
      </c>
      <c r="I265" s="7" t="s">
        <v>14</v>
      </c>
      <c r="J265" s="13">
        <v>1.0</v>
      </c>
      <c r="K265" s="14" t="s">
        <v>14</v>
      </c>
      <c r="L265" s="13">
        <v>1.0</v>
      </c>
      <c r="N265" s="17"/>
      <c r="Q265" s="9"/>
      <c r="R265" s="11"/>
    </row>
    <row r="266">
      <c r="A266" s="7" t="s">
        <v>277</v>
      </c>
      <c r="B266" s="15" t="s">
        <v>14</v>
      </c>
      <c r="C266" s="7">
        <v>0.0</v>
      </c>
      <c r="D266" s="8">
        <v>0.0</v>
      </c>
      <c r="E266" s="8">
        <v>6.0</v>
      </c>
      <c r="F266" s="8">
        <v>5.0</v>
      </c>
      <c r="G266" s="7">
        <f t="shared" si="1"/>
        <v>11</v>
      </c>
      <c r="H266" s="7" t="s">
        <v>14</v>
      </c>
      <c r="I266" s="7" t="s">
        <v>14</v>
      </c>
      <c r="J266" s="13">
        <v>1.0</v>
      </c>
      <c r="K266" s="14" t="s">
        <v>14</v>
      </c>
      <c r="L266" s="13">
        <v>0.0</v>
      </c>
      <c r="Q266" s="9"/>
    </row>
    <row r="267">
      <c r="A267" s="7" t="s">
        <v>278</v>
      </c>
      <c r="B267" s="7" t="s">
        <v>14</v>
      </c>
      <c r="C267" s="13">
        <v>0.0</v>
      </c>
      <c r="D267" s="8">
        <v>15.0</v>
      </c>
      <c r="E267" s="8">
        <v>5.3</v>
      </c>
      <c r="F267" s="8">
        <v>5.0</v>
      </c>
      <c r="G267" s="7">
        <f t="shared" si="1"/>
        <v>25.3</v>
      </c>
      <c r="H267" s="7" t="s">
        <v>14</v>
      </c>
      <c r="I267" s="7" t="s">
        <v>14</v>
      </c>
      <c r="J267" s="8">
        <v>1.0</v>
      </c>
      <c r="K267" s="7" t="s">
        <v>14</v>
      </c>
      <c r="L267" s="8">
        <v>1.0</v>
      </c>
      <c r="N267" s="12"/>
      <c r="Q267" s="9"/>
    </row>
    <row r="268">
      <c r="A268" s="7" t="s">
        <v>279</v>
      </c>
      <c r="B268" s="15" t="s">
        <v>14</v>
      </c>
      <c r="C268" s="13">
        <v>0.0</v>
      </c>
      <c r="D268" s="8">
        <v>0.0</v>
      </c>
      <c r="E268" s="7">
        <v>6.8</v>
      </c>
      <c r="F268" s="8">
        <v>5.0</v>
      </c>
      <c r="G268" s="7">
        <f t="shared" si="1"/>
        <v>11.8</v>
      </c>
      <c r="H268" s="7" t="s">
        <v>14</v>
      </c>
      <c r="I268" s="7" t="s">
        <v>14</v>
      </c>
      <c r="J268" s="13">
        <v>1.0</v>
      </c>
      <c r="K268" s="14" t="s">
        <v>14</v>
      </c>
      <c r="L268" s="13">
        <v>1.0</v>
      </c>
      <c r="N268" s="12"/>
      <c r="Q268" s="9"/>
      <c r="R268" s="11"/>
    </row>
    <row r="269">
      <c r="A269" s="7" t="s">
        <v>280</v>
      </c>
      <c r="B269" s="15" t="s">
        <v>14</v>
      </c>
      <c r="C269" s="7">
        <v>0.0</v>
      </c>
      <c r="D269" s="8">
        <v>0.0</v>
      </c>
      <c r="E269" s="8">
        <v>8.2</v>
      </c>
      <c r="F269" s="8">
        <v>5.0</v>
      </c>
      <c r="G269" s="7">
        <f t="shared" si="1"/>
        <v>13.2</v>
      </c>
      <c r="H269" s="7" t="s">
        <v>14</v>
      </c>
      <c r="I269" s="7" t="s">
        <v>14</v>
      </c>
      <c r="J269" s="13">
        <v>1.0</v>
      </c>
      <c r="K269" s="14" t="s">
        <v>14</v>
      </c>
      <c r="L269" s="13">
        <v>0.0</v>
      </c>
      <c r="Q269" s="9"/>
    </row>
    <row r="270">
      <c r="A270" s="7" t="s">
        <v>281</v>
      </c>
      <c r="B270" s="7" t="s">
        <v>14</v>
      </c>
      <c r="C270" s="7">
        <v>20.0</v>
      </c>
      <c r="D270" s="8">
        <v>0.0</v>
      </c>
      <c r="E270" s="7">
        <v>7.5</v>
      </c>
      <c r="F270" s="8">
        <v>40.0</v>
      </c>
      <c r="G270" s="7">
        <f t="shared" si="1"/>
        <v>67.5</v>
      </c>
      <c r="H270" s="7" t="s">
        <v>14</v>
      </c>
      <c r="I270" s="7" t="s">
        <v>14</v>
      </c>
      <c r="J270" s="13">
        <v>3.0</v>
      </c>
      <c r="K270" s="14" t="s">
        <v>14</v>
      </c>
      <c r="L270" s="16">
        <v>3.0</v>
      </c>
      <c r="Q270" s="9"/>
    </row>
    <row r="271">
      <c r="A271" s="7" t="s">
        <v>282</v>
      </c>
      <c r="B271" s="15" t="s">
        <v>14</v>
      </c>
      <c r="C271" s="18">
        <v>17.6</v>
      </c>
      <c r="D271" s="8">
        <v>0.0</v>
      </c>
      <c r="E271" s="8">
        <v>7.5</v>
      </c>
      <c r="F271" s="8">
        <v>5.0</v>
      </c>
      <c r="G271" s="19">
        <f t="shared" si="1"/>
        <v>30.1</v>
      </c>
      <c r="H271" s="7" t="s">
        <v>14</v>
      </c>
      <c r="I271" s="7" t="s">
        <v>14</v>
      </c>
      <c r="J271" s="8">
        <v>1.0</v>
      </c>
      <c r="K271" s="7" t="s">
        <v>14</v>
      </c>
      <c r="L271" s="8">
        <v>0.0</v>
      </c>
      <c r="N271" s="12"/>
      <c r="Q271" s="9"/>
    </row>
    <row r="272">
      <c r="A272" s="7" t="s">
        <v>283</v>
      </c>
      <c r="B272" s="15" t="s">
        <v>14</v>
      </c>
      <c r="C272" s="13">
        <v>11.2</v>
      </c>
      <c r="D272" s="8">
        <v>0.0</v>
      </c>
      <c r="E272" s="8">
        <v>3.8</v>
      </c>
      <c r="F272" s="8">
        <v>5.0</v>
      </c>
      <c r="G272" s="7">
        <f t="shared" si="1"/>
        <v>20</v>
      </c>
      <c r="H272" s="7" t="s">
        <v>14</v>
      </c>
      <c r="I272" s="7" t="s">
        <v>14</v>
      </c>
      <c r="J272" s="13">
        <v>1.0</v>
      </c>
      <c r="K272" s="14" t="s">
        <v>14</v>
      </c>
      <c r="L272" s="13">
        <v>1.0</v>
      </c>
      <c r="N272" s="12"/>
      <c r="Q272" s="9"/>
      <c r="R272" s="11"/>
    </row>
    <row r="273">
      <c r="A273" s="7" t="s">
        <v>284</v>
      </c>
      <c r="B273" s="15" t="s">
        <v>14</v>
      </c>
      <c r="C273" s="7">
        <v>0.0</v>
      </c>
      <c r="D273" s="8">
        <v>15.0</v>
      </c>
      <c r="E273" s="8">
        <v>10.5</v>
      </c>
      <c r="F273" s="8">
        <v>5.0</v>
      </c>
      <c r="G273" s="7">
        <f t="shared" si="1"/>
        <v>30.5</v>
      </c>
      <c r="H273" s="7" t="s">
        <v>14</v>
      </c>
      <c r="I273" s="7" t="s">
        <v>14</v>
      </c>
      <c r="J273" s="28">
        <v>1.0</v>
      </c>
      <c r="K273" s="14" t="s">
        <v>14</v>
      </c>
      <c r="L273" s="28">
        <v>0.0</v>
      </c>
      <c r="Q273" s="9"/>
      <c r="R273" s="11"/>
    </row>
    <row r="274">
      <c r="A274" s="7" t="s">
        <v>285</v>
      </c>
      <c r="B274" s="7" t="s">
        <v>14</v>
      </c>
      <c r="C274" s="7">
        <v>0.0</v>
      </c>
      <c r="D274" s="8">
        <v>15.0</v>
      </c>
      <c r="E274" s="8">
        <v>3.0</v>
      </c>
      <c r="F274" s="8">
        <v>10.0</v>
      </c>
      <c r="G274" s="7">
        <f t="shared" si="1"/>
        <v>28</v>
      </c>
      <c r="H274" s="7" t="s">
        <v>14</v>
      </c>
      <c r="I274" s="7" t="s">
        <v>14</v>
      </c>
      <c r="J274" s="13">
        <v>1.0</v>
      </c>
      <c r="K274" s="14" t="s">
        <v>14</v>
      </c>
      <c r="L274" s="13">
        <v>0.0</v>
      </c>
      <c r="Q274" s="9"/>
      <c r="R274" s="11"/>
    </row>
    <row r="275">
      <c r="A275" s="7" t="s">
        <v>286</v>
      </c>
      <c r="B275" s="7" t="s">
        <v>14</v>
      </c>
      <c r="C275" s="13">
        <v>0.0</v>
      </c>
      <c r="D275" s="8">
        <v>0.0</v>
      </c>
      <c r="E275" s="8">
        <v>0.0</v>
      </c>
      <c r="F275" s="8">
        <v>5.0</v>
      </c>
      <c r="G275" s="7">
        <f t="shared" si="1"/>
        <v>5</v>
      </c>
      <c r="H275" s="7" t="s">
        <v>14</v>
      </c>
      <c r="I275" s="7" t="s">
        <v>14</v>
      </c>
      <c r="J275" s="13">
        <v>0.0</v>
      </c>
      <c r="K275" s="14" t="s">
        <v>14</v>
      </c>
      <c r="L275" s="13">
        <v>1.0</v>
      </c>
      <c r="N275" s="12"/>
      <c r="Q275" s="9"/>
    </row>
    <row r="276">
      <c r="A276" s="7" t="s">
        <v>287</v>
      </c>
      <c r="B276" s="7" t="s">
        <v>14</v>
      </c>
      <c r="C276" s="13">
        <v>0.0</v>
      </c>
      <c r="D276" s="8">
        <v>0.0</v>
      </c>
      <c r="E276" s="8">
        <v>9.0</v>
      </c>
      <c r="F276" s="8">
        <v>0.0</v>
      </c>
      <c r="G276" s="7">
        <f t="shared" si="1"/>
        <v>9</v>
      </c>
      <c r="H276" s="7" t="s">
        <v>14</v>
      </c>
      <c r="I276" s="7" t="s">
        <v>14</v>
      </c>
      <c r="J276" s="13">
        <v>1.0</v>
      </c>
      <c r="K276" s="14" t="s">
        <v>14</v>
      </c>
      <c r="L276" s="13">
        <v>1.0</v>
      </c>
      <c r="N276" s="12"/>
      <c r="Q276" s="9"/>
      <c r="R276" s="11"/>
    </row>
    <row r="277">
      <c r="A277" s="7" t="s">
        <v>288</v>
      </c>
      <c r="B277" s="7" t="s">
        <v>14</v>
      </c>
      <c r="C277" s="7">
        <v>15.5</v>
      </c>
      <c r="D277" s="8">
        <v>0.0</v>
      </c>
      <c r="E277" s="7">
        <v>3.0</v>
      </c>
      <c r="F277" s="8">
        <v>0.0</v>
      </c>
      <c r="G277" s="7">
        <f t="shared" si="1"/>
        <v>18.5</v>
      </c>
      <c r="H277" s="7" t="s">
        <v>14</v>
      </c>
      <c r="I277" s="7" t="s">
        <v>14</v>
      </c>
      <c r="J277" s="13">
        <v>1.0</v>
      </c>
      <c r="K277" s="14" t="s">
        <v>14</v>
      </c>
      <c r="L277" s="13">
        <v>0.0</v>
      </c>
      <c r="Q277" s="9"/>
    </row>
    <row r="278">
      <c r="A278" s="7" t="s">
        <v>289</v>
      </c>
      <c r="B278" s="7" t="s">
        <v>14</v>
      </c>
      <c r="C278" s="7">
        <v>0.0</v>
      </c>
      <c r="D278" s="8">
        <v>0.0</v>
      </c>
      <c r="E278" s="8">
        <v>6.7</v>
      </c>
      <c r="F278" s="8">
        <v>0.0</v>
      </c>
      <c r="G278" s="7">
        <f t="shared" si="1"/>
        <v>6.7</v>
      </c>
      <c r="H278" s="7" t="s">
        <v>14</v>
      </c>
      <c r="I278" s="7" t="s">
        <v>14</v>
      </c>
      <c r="J278" s="13">
        <v>1.0</v>
      </c>
      <c r="K278" s="14" t="s">
        <v>14</v>
      </c>
      <c r="L278" s="13">
        <v>1.0</v>
      </c>
      <c r="Q278" s="9"/>
    </row>
    <row r="279">
      <c r="A279" s="7" t="s">
        <v>290</v>
      </c>
      <c r="B279" s="7" t="s">
        <v>14</v>
      </c>
      <c r="C279" s="7">
        <v>14.2</v>
      </c>
      <c r="D279" s="8">
        <v>15.0</v>
      </c>
      <c r="E279" s="8">
        <v>8.2</v>
      </c>
      <c r="F279" s="8">
        <v>5.0</v>
      </c>
      <c r="G279" s="7">
        <f t="shared" si="1"/>
        <v>42.4</v>
      </c>
      <c r="H279" s="7" t="s">
        <v>14</v>
      </c>
      <c r="I279" s="7" t="s">
        <v>14</v>
      </c>
      <c r="J279" s="13">
        <v>1.0</v>
      </c>
      <c r="K279" s="14" t="s">
        <v>14</v>
      </c>
      <c r="L279" s="13">
        <v>1.0</v>
      </c>
      <c r="Q279" s="9"/>
      <c r="R279" s="11"/>
    </row>
    <row r="280">
      <c r="A280" s="7" t="s">
        <v>291</v>
      </c>
      <c r="B280" s="7" t="s">
        <v>14</v>
      </c>
      <c r="C280" s="8">
        <v>0.0</v>
      </c>
      <c r="D280" s="8">
        <v>15.0</v>
      </c>
      <c r="E280" s="8">
        <v>9.0</v>
      </c>
      <c r="F280" s="8">
        <v>5.0</v>
      </c>
      <c r="G280" s="7">
        <f t="shared" si="1"/>
        <v>29</v>
      </c>
      <c r="H280" s="7" t="s">
        <v>14</v>
      </c>
      <c r="I280" s="7" t="s">
        <v>14</v>
      </c>
      <c r="J280" s="13">
        <v>1.0</v>
      </c>
      <c r="K280" s="14" t="s">
        <v>14</v>
      </c>
      <c r="L280" s="13">
        <v>0.0</v>
      </c>
      <c r="Q280" s="9"/>
    </row>
    <row r="281">
      <c r="A281" s="7" t="s">
        <v>292</v>
      </c>
      <c r="B281" s="7" t="s">
        <v>14</v>
      </c>
      <c r="C281" s="8">
        <v>18.3</v>
      </c>
      <c r="D281" s="8">
        <v>0.0</v>
      </c>
      <c r="E281" s="8">
        <v>5.3</v>
      </c>
      <c r="F281" s="8">
        <v>5.0</v>
      </c>
      <c r="G281" s="7">
        <f t="shared" si="1"/>
        <v>28.6</v>
      </c>
      <c r="H281" s="7" t="s">
        <v>14</v>
      </c>
      <c r="I281" s="7" t="s">
        <v>14</v>
      </c>
      <c r="J281" s="28">
        <v>2.0</v>
      </c>
      <c r="K281" s="14" t="s">
        <v>14</v>
      </c>
      <c r="L281" s="28">
        <v>0.0</v>
      </c>
      <c r="Q281" s="9"/>
    </row>
    <row r="282">
      <c r="A282" s="7" t="s">
        <v>293</v>
      </c>
      <c r="B282" s="7" t="s">
        <v>14</v>
      </c>
      <c r="C282" s="7">
        <v>0.0</v>
      </c>
      <c r="D282" s="8">
        <v>0.0</v>
      </c>
      <c r="E282" s="7">
        <v>7.5</v>
      </c>
      <c r="F282" s="8">
        <v>5.0</v>
      </c>
      <c r="G282" s="7">
        <f t="shared" si="1"/>
        <v>12.5</v>
      </c>
      <c r="H282" s="7" t="s">
        <v>14</v>
      </c>
      <c r="I282" s="7" t="s">
        <v>14</v>
      </c>
      <c r="J282" s="8">
        <v>1.0</v>
      </c>
      <c r="K282" s="7" t="s">
        <v>14</v>
      </c>
      <c r="L282" s="8">
        <v>1.0</v>
      </c>
      <c r="Q282" s="9"/>
    </row>
    <row r="283">
      <c r="A283" s="7" t="s">
        <v>294</v>
      </c>
      <c r="B283" s="15" t="s">
        <v>14</v>
      </c>
      <c r="C283" s="13">
        <v>0.0</v>
      </c>
      <c r="D283" s="8">
        <v>15.0</v>
      </c>
      <c r="E283" s="7">
        <v>0.8</v>
      </c>
      <c r="F283" s="8">
        <v>0.0</v>
      </c>
      <c r="G283" s="7">
        <f t="shared" si="1"/>
        <v>15.8</v>
      </c>
      <c r="H283" s="7" t="s">
        <v>14</v>
      </c>
      <c r="I283" s="7" t="s">
        <v>14</v>
      </c>
      <c r="J283" s="13">
        <v>1.0</v>
      </c>
      <c r="K283" s="14" t="s">
        <v>14</v>
      </c>
      <c r="L283" s="13">
        <v>0.0</v>
      </c>
      <c r="N283" s="12"/>
      <c r="Q283" s="9"/>
    </row>
    <row r="284">
      <c r="A284" s="7" t="s">
        <v>295</v>
      </c>
      <c r="B284" s="7" t="s">
        <v>14</v>
      </c>
      <c r="C284" s="16">
        <v>15.2</v>
      </c>
      <c r="D284" s="8">
        <v>15.0</v>
      </c>
      <c r="E284" s="8">
        <v>7.5</v>
      </c>
      <c r="F284" s="8">
        <v>5.0</v>
      </c>
      <c r="G284" s="7">
        <f t="shared" si="1"/>
        <v>42.7</v>
      </c>
      <c r="H284" s="7" t="s">
        <v>14</v>
      </c>
      <c r="I284" s="7" t="s">
        <v>14</v>
      </c>
      <c r="J284" s="8">
        <v>1.0</v>
      </c>
      <c r="K284" s="7" t="s">
        <v>14</v>
      </c>
      <c r="L284" s="8">
        <v>0.0</v>
      </c>
      <c r="N284" s="12"/>
      <c r="Q284" s="9"/>
    </row>
    <row r="285">
      <c r="A285" s="7" t="s">
        <v>296</v>
      </c>
      <c r="B285" s="15" t="s">
        <v>14</v>
      </c>
      <c r="C285" s="7">
        <v>16.0</v>
      </c>
      <c r="D285" s="8">
        <v>15.0</v>
      </c>
      <c r="E285" s="29">
        <v>7.5</v>
      </c>
      <c r="F285" s="8">
        <v>0.0</v>
      </c>
      <c r="G285" s="7">
        <f t="shared" si="1"/>
        <v>38.5</v>
      </c>
      <c r="H285" s="7" t="s">
        <v>14</v>
      </c>
      <c r="I285" s="7" t="s">
        <v>14</v>
      </c>
      <c r="J285" s="8">
        <v>1.0</v>
      </c>
      <c r="K285" s="7" t="s">
        <v>14</v>
      </c>
      <c r="L285" s="8">
        <v>1.0</v>
      </c>
    </row>
    <row r="286">
      <c r="A286" s="7" t="s">
        <v>297</v>
      </c>
      <c r="B286" s="15" t="s">
        <v>14</v>
      </c>
      <c r="C286" s="13">
        <v>0.0</v>
      </c>
      <c r="D286" s="8">
        <v>0.0</v>
      </c>
      <c r="E286" s="8">
        <v>0.0</v>
      </c>
      <c r="F286" s="8">
        <v>0.0</v>
      </c>
      <c r="G286" s="7">
        <f t="shared" si="1"/>
        <v>0</v>
      </c>
      <c r="H286" s="7" t="s">
        <v>14</v>
      </c>
      <c r="I286" s="7" t="s">
        <v>14</v>
      </c>
      <c r="J286" s="13">
        <v>1.0</v>
      </c>
      <c r="K286" s="14" t="s">
        <v>14</v>
      </c>
      <c r="L286" s="13">
        <v>1.0</v>
      </c>
      <c r="N286" s="12"/>
      <c r="Q286" s="9"/>
      <c r="R286" s="11"/>
    </row>
    <row r="287">
      <c r="A287" s="7" t="s">
        <v>298</v>
      </c>
      <c r="B287" s="7" t="s">
        <v>14</v>
      </c>
      <c r="C287" s="13">
        <v>0.0</v>
      </c>
      <c r="D287" s="8">
        <v>15.0</v>
      </c>
      <c r="E287" s="8">
        <v>8.2</v>
      </c>
      <c r="F287" s="8">
        <v>0.0</v>
      </c>
      <c r="G287" s="7">
        <f t="shared" si="1"/>
        <v>23.2</v>
      </c>
      <c r="H287" s="7" t="s">
        <v>14</v>
      </c>
      <c r="I287" s="7" t="s">
        <v>14</v>
      </c>
      <c r="J287" s="13">
        <v>1.0</v>
      </c>
      <c r="K287" s="14" t="s">
        <v>14</v>
      </c>
      <c r="L287" s="13">
        <v>1.0</v>
      </c>
      <c r="N287" s="12"/>
      <c r="Q287" s="9"/>
      <c r="R287" s="11"/>
    </row>
    <row r="288">
      <c r="A288" s="7" t="s">
        <v>299</v>
      </c>
      <c r="B288" s="15" t="s">
        <v>14</v>
      </c>
      <c r="C288" s="13">
        <v>0.0</v>
      </c>
      <c r="D288" s="8">
        <v>0.0</v>
      </c>
      <c r="E288" s="8">
        <v>6.7</v>
      </c>
      <c r="F288" s="8">
        <v>0.0</v>
      </c>
      <c r="G288" s="7">
        <f t="shared" si="1"/>
        <v>6.7</v>
      </c>
      <c r="H288" s="7" t="s">
        <v>14</v>
      </c>
      <c r="I288" s="7" t="s">
        <v>14</v>
      </c>
      <c r="J288" s="13">
        <v>1.0</v>
      </c>
      <c r="K288" s="14" t="s">
        <v>14</v>
      </c>
      <c r="L288" s="13">
        <v>0.0</v>
      </c>
      <c r="N288" s="12"/>
      <c r="Q288" s="9"/>
      <c r="R288" s="11"/>
    </row>
    <row r="289">
      <c r="A289" s="7" t="s">
        <v>300</v>
      </c>
      <c r="B289" s="15" t="s">
        <v>14</v>
      </c>
      <c r="C289" s="8">
        <v>16.0</v>
      </c>
      <c r="D289" s="8">
        <v>15.0</v>
      </c>
      <c r="E289" s="8">
        <v>7.5</v>
      </c>
      <c r="F289" s="8">
        <v>15.0</v>
      </c>
      <c r="G289" s="7">
        <f t="shared" si="1"/>
        <v>53.5</v>
      </c>
      <c r="H289" s="7" t="s">
        <v>14</v>
      </c>
      <c r="I289" s="7" t="s">
        <v>14</v>
      </c>
      <c r="J289" s="13">
        <v>4.0</v>
      </c>
      <c r="K289" s="14" t="s">
        <v>14</v>
      </c>
      <c r="L289" s="13">
        <v>4.0</v>
      </c>
      <c r="Q289" s="9"/>
      <c r="R289" s="11"/>
    </row>
    <row r="290">
      <c r="A290" s="7" t="s">
        <v>301</v>
      </c>
      <c r="B290" s="15" t="s">
        <v>14</v>
      </c>
      <c r="C290" s="8">
        <v>15.5</v>
      </c>
      <c r="D290" s="8">
        <v>0.0</v>
      </c>
      <c r="E290" s="8">
        <v>4.5</v>
      </c>
      <c r="F290" s="8">
        <v>5.0</v>
      </c>
      <c r="G290" s="7">
        <f t="shared" si="1"/>
        <v>25</v>
      </c>
      <c r="H290" s="7" t="s">
        <v>14</v>
      </c>
      <c r="I290" s="7" t="s">
        <v>14</v>
      </c>
      <c r="J290" s="28">
        <v>2.0</v>
      </c>
      <c r="K290" s="14" t="s">
        <v>14</v>
      </c>
      <c r="L290" s="28">
        <v>0.0</v>
      </c>
      <c r="Q290" s="9"/>
    </row>
    <row r="291">
      <c r="A291" s="7" t="s">
        <v>302</v>
      </c>
      <c r="B291" s="15" t="s">
        <v>14</v>
      </c>
      <c r="C291" s="13">
        <v>0.0</v>
      </c>
      <c r="D291" s="8">
        <v>0.0</v>
      </c>
      <c r="E291" s="8">
        <v>2.2</v>
      </c>
      <c r="F291" s="8">
        <v>5.0</v>
      </c>
      <c r="G291" s="7">
        <f t="shared" si="1"/>
        <v>7.2</v>
      </c>
      <c r="H291" s="7" t="s">
        <v>14</v>
      </c>
      <c r="I291" s="7" t="s">
        <v>14</v>
      </c>
      <c r="J291" s="13">
        <v>1.0</v>
      </c>
      <c r="K291" s="14" t="s">
        <v>14</v>
      </c>
      <c r="L291" s="13">
        <v>1.0</v>
      </c>
      <c r="N291" s="12"/>
      <c r="Q291" s="9"/>
      <c r="R291" s="11"/>
    </row>
    <row r="292">
      <c r="A292" s="7" t="s">
        <v>303</v>
      </c>
      <c r="B292" s="15" t="s">
        <v>14</v>
      </c>
      <c r="C292" s="13">
        <v>20.0</v>
      </c>
      <c r="D292" s="8">
        <v>15.0</v>
      </c>
      <c r="E292" s="7">
        <v>3.8</v>
      </c>
      <c r="F292" s="8">
        <v>5.0</v>
      </c>
      <c r="G292" s="7">
        <f t="shared" si="1"/>
        <v>43.8</v>
      </c>
      <c r="H292" s="7" t="s">
        <v>14</v>
      </c>
      <c r="I292" s="7" t="s">
        <v>14</v>
      </c>
      <c r="J292" s="13">
        <v>2.0</v>
      </c>
      <c r="K292" s="14" t="s">
        <v>14</v>
      </c>
      <c r="L292" s="13">
        <v>0.0</v>
      </c>
      <c r="N292" s="12"/>
      <c r="Q292" s="9"/>
      <c r="R292" s="11"/>
    </row>
    <row r="293">
      <c r="A293" s="7" t="s">
        <v>304</v>
      </c>
      <c r="B293" s="15" t="s">
        <v>14</v>
      </c>
      <c r="C293" s="13">
        <v>19.0</v>
      </c>
      <c r="D293" s="8">
        <v>0.0</v>
      </c>
      <c r="E293" s="8">
        <v>6.7</v>
      </c>
      <c r="F293" s="8">
        <v>5.0</v>
      </c>
      <c r="G293" s="7">
        <f t="shared" si="1"/>
        <v>30.7</v>
      </c>
      <c r="H293" s="7" t="s">
        <v>14</v>
      </c>
      <c r="I293" s="7" t="s">
        <v>14</v>
      </c>
      <c r="J293" s="13">
        <v>2.0</v>
      </c>
      <c r="K293" s="14" t="s">
        <v>14</v>
      </c>
      <c r="L293" s="13">
        <v>0.0</v>
      </c>
      <c r="N293" s="12"/>
      <c r="Q293" s="9"/>
      <c r="R293" s="11"/>
    </row>
    <row r="294">
      <c r="A294" s="7" t="s">
        <v>305</v>
      </c>
      <c r="B294" s="7" t="s">
        <v>14</v>
      </c>
      <c r="C294" s="7">
        <v>0.0</v>
      </c>
      <c r="D294" s="8">
        <v>0.0</v>
      </c>
      <c r="E294" s="7">
        <v>4.5</v>
      </c>
      <c r="F294" s="8">
        <v>5.0</v>
      </c>
      <c r="G294" s="7">
        <f t="shared" si="1"/>
        <v>9.5</v>
      </c>
      <c r="H294" s="7" t="s">
        <v>14</v>
      </c>
      <c r="I294" s="7" t="s">
        <v>14</v>
      </c>
      <c r="J294" s="13">
        <v>1.0</v>
      </c>
      <c r="K294" s="14" t="s">
        <v>14</v>
      </c>
      <c r="L294" s="13">
        <v>0.0</v>
      </c>
      <c r="Q294" s="9"/>
      <c r="R294" s="11"/>
    </row>
    <row r="295">
      <c r="A295" s="7" t="s">
        <v>306</v>
      </c>
      <c r="B295" s="7" t="s">
        <v>14</v>
      </c>
      <c r="C295" s="8">
        <v>15.3</v>
      </c>
      <c r="D295" s="8">
        <v>0.0</v>
      </c>
      <c r="E295" s="8">
        <v>6.0</v>
      </c>
      <c r="F295" s="8">
        <v>5.0</v>
      </c>
      <c r="G295" s="7">
        <f t="shared" si="1"/>
        <v>26.3</v>
      </c>
      <c r="H295" s="7" t="s">
        <v>14</v>
      </c>
      <c r="I295" s="7" t="s">
        <v>14</v>
      </c>
      <c r="J295" s="13">
        <v>2.0</v>
      </c>
      <c r="K295" s="14" t="s">
        <v>14</v>
      </c>
      <c r="L295" s="13">
        <v>0.0</v>
      </c>
      <c r="Q295" s="9"/>
    </row>
    <row r="296">
      <c r="A296" s="7" t="s">
        <v>307</v>
      </c>
      <c r="B296" s="7" t="s">
        <v>14</v>
      </c>
      <c r="C296" s="7">
        <v>0.0</v>
      </c>
      <c r="D296" s="8">
        <v>15.0</v>
      </c>
      <c r="E296" s="8">
        <v>9.7</v>
      </c>
      <c r="F296" s="8">
        <v>5.0</v>
      </c>
      <c r="G296" s="7">
        <f t="shared" si="1"/>
        <v>29.7</v>
      </c>
      <c r="H296" s="7" t="s">
        <v>14</v>
      </c>
      <c r="I296" s="7" t="s">
        <v>14</v>
      </c>
      <c r="J296" s="13">
        <v>1.0</v>
      </c>
      <c r="K296" s="14" t="s">
        <v>14</v>
      </c>
      <c r="L296" s="13">
        <v>0.0</v>
      </c>
      <c r="Q296" s="9"/>
    </row>
    <row r="297">
      <c r="A297" s="7" t="s">
        <v>308</v>
      </c>
      <c r="B297" s="7" t="s">
        <v>14</v>
      </c>
      <c r="C297" s="7">
        <v>0.0</v>
      </c>
      <c r="D297" s="8">
        <v>15.0</v>
      </c>
      <c r="E297" s="8">
        <v>6.7</v>
      </c>
      <c r="F297" s="8">
        <v>5.0</v>
      </c>
      <c r="G297" s="7">
        <f t="shared" si="1"/>
        <v>26.7</v>
      </c>
      <c r="H297" s="7" t="s">
        <v>14</v>
      </c>
      <c r="I297" s="7" t="s">
        <v>14</v>
      </c>
      <c r="J297" s="13">
        <v>1.0</v>
      </c>
      <c r="K297" s="14" t="s">
        <v>14</v>
      </c>
      <c r="L297" s="13">
        <v>0.0</v>
      </c>
      <c r="Q297" s="9"/>
    </row>
    <row r="298">
      <c r="A298" s="7" t="s">
        <v>309</v>
      </c>
      <c r="B298" s="7" t="s">
        <v>14</v>
      </c>
      <c r="C298" s="18">
        <v>0.0</v>
      </c>
      <c r="D298" s="8">
        <v>15.0</v>
      </c>
      <c r="E298" s="8">
        <v>2.2</v>
      </c>
      <c r="F298" s="8">
        <v>5.0</v>
      </c>
      <c r="G298" s="19">
        <f t="shared" si="1"/>
        <v>22.2</v>
      </c>
      <c r="H298" s="7" t="s">
        <v>14</v>
      </c>
      <c r="I298" s="7" t="s">
        <v>14</v>
      </c>
      <c r="J298" s="13">
        <v>1.0</v>
      </c>
      <c r="K298" s="14" t="s">
        <v>14</v>
      </c>
      <c r="L298" s="13">
        <v>1.0</v>
      </c>
      <c r="N298" s="12"/>
      <c r="Q298" s="9"/>
      <c r="R298" s="11"/>
    </row>
    <row r="299">
      <c r="A299" s="7" t="s">
        <v>310</v>
      </c>
      <c r="B299" s="7" t="s">
        <v>14</v>
      </c>
      <c r="C299" s="13">
        <v>0.0</v>
      </c>
      <c r="D299" s="8">
        <v>0.0</v>
      </c>
      <c r="E299" s="8">
        <v>7.5</v>
      </c>
      <c r="F299" s="8">
        <v>5.0</v>
      </c>
      <c r="G299" s="7">
        <f t="shared" si="1"/>
        <v>12.5</v>
      </c>
      <c r="H299" s="7" t="s">
        <v>14</v>
      </c>
      <c r="I299" s="7" t="s">
        <v>14</v>
      </c>
      <c r="J299" s="8">
        <v>1.0</v>
      </c>
      <c r="K299" s="7" t="s">
        <v>14</v>
      </c>
      <c r="L299" s="8">
        <v>0.0</v>
      </c>
      <c r="N299" s="12"/>
      <c r="Q299" s="9"/>
    </row>
    <row r="300">
      <c r="A300" s="7" t="s">
        <v>311</v>
      </c>
      <c r="B300" s="7" t="s">
        <v>14</v>
      </c>
      <c r="C300" s="7">
        <v>0.0</v>
      </c>
      <c r="D300" s="8">
        <v>15.0</v>
      </c>
      <c r="E300" s="8">
        <v>2.2</v>
      </c>
      <c r="F300" s="8">
        <v>0.0</v>
      </c>
      <c r="G300" s="7">
        <f t="shared" si="1"/>
        <v>17.2</v>
      </c>
      <c r="H300" s="7" t="s">
        <v>14</v>
      </c>
      <c r="I300" s="7" t="s">
        <v>14</v>
      </c>
      <c r="J300" s="8">
        <v>0.0</v>
      </c>
      <c r="K300" s="7" t="s">
        <v>14</v>
      </c>
      <c r="L300" s="8">
        <v>1.0</v>
      </c>
      <c r="Q300" s="9"/>
    </row>
    <row r="301">
      <c r="A301" s="7" t="s">
        <v>312</v>
      </c>
      <c r="B301" s="7" t="s">
        <v>14</v>
      </c>
      <c r="C301" s="13">
        <v>12.9</v>
      </c>
      <c r="D301" s="8">
        <v>15.0</v>
      </c>
      <c r="E301" s="8">
        <v>6.7</v>
      </c>
      <c r="F301" s="8">
        <v>5.0</v>
      </c>
      <c r="G301" s="7">
        <f t="shared" si="1"/>
        <v>39.6</v>
      </c>
      <c r="H301" s="7" t="s">
        <v>14</v>
      </c>
      <c r="I301" s="7" t="s">
        <v>14</v>
      </c>
      <c r="J301" s="8">
        <v>2.0</v>
      </c>
      <c r="K301" s="7" t="s">
        <v>14</v>
      </c>
      <c r="L301" s="8">
        <v>0.0</v>
      </c>
      <c r="N301" s="12"/>
      <c r="Q301" s="9"/>
    </row>
    <row r="302">
      <c r="A302" s="7" t="s">
        <v>313</v>
      </c>
      <c r="B302" s="15" t="s">
        <v>14</v>
      </c>
      <c r="C302" s="13">
        <v>0.0</v>
      </c>
      <c r="D302" s="8">
        <v>15.0</v>
      </c>
      <c r="E302" s="7">
        <v>7.5</v>
      </c>
      <c r="F302" s="8">
        <v>0.0</v>
      </c>
      <c r="G302" s="7">
        <f t="shared" si="1"/>
        <v>22.5</v>
      </c>
      <c r="H302" s="7" t="s">
        <v>14</v>
      </c>
      <c r="I302" s="7" t="s">
        <v>14</v>
      </c>
      <c r="J302" s="8">
        <v>1.0</v>
      </c>
      <c r="K302" s="7" t="s">
        <v>14</v>
      </c>
      <c r="L302" s="8">
        <v>0.0</v>
      </c>
      <c r="N302" s="12"/>
      <c r="Q302" s="9"/>
    </row>
    <row r="303">
      <c r="A303" s="7" t="s">
        <v>314</v>
      </c>
      <c r="B303" s="7" t="s">
        <v>14</v>
      </c>
      <c r="C303" s="7">
        <v>0.0</v>
      </c>
      <c r="D303" s="8">
        <v>15.0</v>
      </c>
      <c r="E303" s="8">
        <v>1.5</v>
      </c>
      <c r="F303" s="8">
        <v>0.0</v>
      </c>
      <c r="G303" s="7">
        <f t="shared" si="1"/>
        <v>16.5</v>
      </c>
      <c r="H303" s="7" t="s">
        <v>14</v>
      </c>
      <c r="I303" s="7" t="s">
        <v>14</v>
      </c>
      <c r="J303" s="8">
        <v>1.0</v>
      </c>
      <c r="K303" s="7" t="s">
        <v>14</v>
      </c>
      <c r="L303" s="8">
        <v>0.0</v>
      </c>
      <c r="Q303" s="11"/>
    </row>
    <row r="304">
      <c r="A304" s="7" t="s">
        <v>315</v>
      </c>
      <c r="B304" s="15" t="s">
        <v>14</v>
      </c>
      <c r="C304" s="13">
        <v>0.0</v>
      </c>
      <c r="D304" s="8">
        <v>0.0</v>
      </c>
      <c r="E304" s="8">
        <v>9.0</v>
      </c>
      <c r="F304" s="8">
        <v>5.0</v>
      </c>
      <c r="G304" s="7">
        <f t="shared" si="1"/>
        <v>14</v>
      </c>
      <c r="H304" s="7" t="s">
        <v>14</v>
      </c>
      <c r="I304" s="7" t="s">
        <v>14</v>
      </c>
      <c r="J304" s="8">
        <v>1.0</v>
      </c>
      <c r="K304" s="7" t="s">
        <v>14</v>
      </c>
      <c r="L304" s="8">
        <v>0.0</v>
      </c>
      <c r="N304" s="12"/>
      <c r="Q304" s="11"/>
    </row>
    <row r="305">
      <c r="A305" s="7" t="s">
        <v>316</v>
      </c>
      <c r="B305" s="15" t="s">
        <v>14</v>
      </c>
      <c r="C305" s="13">
        <v>15.1</v>
      </c>
      <c r="D305" s="8">
        <v>15.0</v>
      </c>
      <c r="E305" s="8">
        <v>7.5</v>
      </c>
      <c r="F305" s="8">
        <v>15.0</v>
      </c>
      <c r="G305" s="7">
        <f t="shared" si="1"/>
        <v>52.6</v>
      </c>
      <c r="H305" s="7" t="s">
        <v>14</v>
      </c>
      <c r="I305" s="7" t="s">
        <v>14</v>
      </c>
      <c r="J305" s="8">
        <v>1.0</v>
      </c>
      <c r="K305" s="7" t="s">
        <v>14</v>
      </c>
      <c r="L305" s="8">
        <v>1.0</v>
      </c>
      <c r="N305" s="12"/>
      <c r="Q305" s="11"/>
    </row>
    <row r="306">
      <c r="A306" s="7" t="s">
        <v>317</v>
      </c>
      <c r="B306" s="7" t="s">
        <v>14</v>
      </c>
      <c r="C306" s="7">
        <v>20.0</v>
      </c>
      <c r="D306" s="8">
        <v>15.0</v>
      </c>
      <c r="E306" s="8">
        <v>8.2</v>
      </c>
      <c r="F306" s="8">
        <v>5.0</v>
      </c>
      <c r="G306" s="7">
        <f t="shared" si="1"/>
        <v>48.2</v>
      </c>
      <c r="H306" s="7" t="s">
        <v>14</v>
      </c>
      <c r="I306" s="7" t="s">
        <v>14</v>
      </c>
      <c r="J306" s="8">
        <v>2.0</v>
      </c>
      <c r="K306" s="7" t="s">
        <v>14</v>
      </c>
      <c r="L306" s="8">
        <v>2.0</v>
      </c>
      <c r="Q306" s="11"/>
    </row>
    <row r="307">
      <c r="A307" s="7" t="s">
        <v>318</v>
      </c>
      <c r="B307" s="7" t="s">
        <v>14</v>
      </c>
      <c r="C307" s="7">
        <v>0.0</v>
      </c>
      <c r="D307" s="8">
        <v>0.0</v>
      </c>
      <c r="E307" s="8">
        <v>8.2</v>
      </c>
      <c r="F307" s="7">
        <v>8.25</v>
      </c>
      <c r="G307" s="7">
        <f t="shared" si="1"/>
        <v>16.45</v>
      </c>
      <c r="H307" s="7" t="s">
        <v>14</v>
      </c>
      <c r="I307" s="7" t="s">
        <v>14</v>
      </c>
      <c r="J307" s="8">
        <v>0.0</v>
      </c>
      <c r="K307" s="7" t="s">
        <v>14</v>
      </c>
      <c r="L307" s="8">
        <v>1.0</v>
      </c>
      <c r="Q307" s="11"/>
    </row>
    <row r="308">
      <c r="A308" s="7" t="s">
        <v>319</v>
      </c>
      <c r="B308" s="7" t="s">
        <v>14</v>
      </c>
      <c r="C308" s="8">
        <v>15.6</v>
      </c>
      <c r="D308" s="8">
        <v>15.0</v>
      </c>
      <c r="E308" s="8">
        <v>8.2</v>
      </c>
      <c r="F308" s="8">
        <v>5.0</v>
      </c>
      <c r="G308" s="7">
        <f t="shared" si="1"/>
        <v>43.8</v>
      </c>
      <c r="H308" s="7" t="s">
        <v>14</v>
      </c>
      <c r="I308" s="7" t="s">
        <v>14</v>
      </c>
      <c r="J308" s="8">
        <v>0.0</v>
      </c>
      <c r="K308" s="7" t="s">
        <v>14</v>
      </c>
      <c r="L308" s="8">
        <v>1.0</v>
      </c>
      <c r="Q308" s="11"/>
    </row>
    <row r="309">
      <c r="A309" s="7" t="s">
        <v>107</v>
      </c>
      <c r="B309" s="7" t="s">
        <v>14</v>
      </c>
      <c r="C309" s="13">
        <v>12.5</v>
      </c>
      <c r="D309" s="8">
        <v>0.0</v>
      </c>
      <c r="E309" s="7">
        <v>1.9</v>
      </c>
      <c r="F309" s="8">
        <v>5.0</v>
      </c>
      <c r="G309" s="7">
        <f t="shared" si="1"/>
        <v>19.4</v>
      </c>
      <c r="H309" s="7" t="s">
        <v>14</v>
      </c>
      <c r="I309" s="7" t="s">
        <v>14</v>
      </c>
      <c r="J309" s="8">
        <v>0.0</v>
      </c>
      <c r="K309" s="7" t="s">
        <v>14</v>
      </c>
      <c r="L309" s="8">
        <v>1.0</v>
      </c>
      <c r="N309" s="12"/>
      <c r="Q309" s="11"/>
    </row>
    <row r="310">
      <c r="A310" s="7" t="s">
        <v>320</v>
      </c>
      <c r="B310" s="15" t="s">
        <v>14</v>
      </c>
      <c r="C310" s="16">
        <v>17.6</v>
      </c>
      <c r="D310" s="8">
        <v>0.0</v>
      </c>
      <c r="E310" s="8">
        <v>8.2</v>
      </c>
      <c r="F310" s="8">
        <v>10.0</v>
      </c>
      <c r="G310" s="7">
        <f t="shared" si="1"/>
        <v>35.8</v>
      </c>
      <c r="H310" s="7" t="s">
        <v>14</v>
      </c>
      <c r="I310" s="7" t="s">
        <v>14</v>
      </c>
      <c r="J310" s="8">
        <v>2.0</v>
      </c>
      <c r="K310" s="7" t="s">
        <v>14</v>
      </c>
      <c r="L310" s="8">
        <v>0.0</v>
      </c>
      <c r="N310" s="12"/>
      <c r="Q310" s="11"/>
    </row>
    <row r="311">
      <c r="A311" s="7" t="s">
        <v>321</v>
      </c>
      <c r="B311" s="7" t="s">
        <v>14</v>
      </c>
      <c r="C311" s="8">
        <v>10.1</v>
      </c>
      <c r="D311" s="8">
        <v>15.0</v>
      </c>
      <c r="E311" s="8">
        <v>3.0</v>
      </c>
      <c r="F311" s="8">
        <v>0.0</v>
      </c>
      <c r="G311" s="7">
        <f t="shared" si="1"/>
        <v>28.1</v>
      </c>
      <c r="H311" s="7" t="s">
        <v>14</v>
      </c>
      <c r="I311" s="7" t="s">
        <v>14</v>
      </c>
      <c r="J311" s="8">
        <v>1.0</v>
      </c>
      <c r="K311" s="7" t="s">
        <v>14</v>
      </c>
      <c r="L311" s="8">
        <v>0.0</v>
      </c>
      <c r="Q311" s="11"/>
    </row>
    <row r="312">
      <c r="A312" s="7" t="s">
        <v>322</v>
      </c>
      <c r="B312" s="15" t="s">
        <v>14</v>
      </c>
      <c r="C312" s="16">
        <v>16.6</v>
      </c>
      <c r="D312" s="8">
        <v>15.0</v>
      </c>
      <c r="E312" s="7">
        <v>7.5</v>
      </c>
      <c r="F312" s="8">
        <v>15.0</v>
      </c>
      <c r="G312" s="7">
        <f t="shared" si="1"/>
        <v>54.1</v>
      </c>
      <c r="H312" s="7" t="s">
        <v>14</v>
      </c>
      <c r="I312" s="7" t="s">
        <v>14</v>
      </c>
      <c r="J312" s="8">
        <v>2.0</v>
      </c>
      <c r="K312" s="7" t="s">
        <v>14</v>
      </c>
      <c r="L312" s="8">
        <v>2.0</v>
      </c>
      <c r="N312" s="12"/>
      <c r="Q312" s="11"/>
    </row>
    <row r="313">
      <c r="A313" s="7" t="s">
        <v>323</v>
      </c>
      <c r="B313" s="7" t="s">
        <v>14</v>
      </c>
      <c r="C313" s="13">
        <v>0.0</v>
      </c>
      <c r="D313" s="8">
        <v>15.0</v>
      </c>
      <c r="E313" s="8">
        <v>3.8</v>
      </c>
      <c r="F313" s="8">
        <v>15.0</v>
      </c>
      <c r="G313" s="7">
        <f t="shared" si="1"/>
        <v>33.8</v>
      </c>
      <c r="H313" s="7" t="s">
        <v>14</v>
      </c>
      <c r="I313" s="7" t="s">
        <v>14</v>
      </c>
      <c r="J313" s="13">
        <v>4.0</v>
      </c>
      <c r="K313" s="7" t="s">
        <v>14</v>
      </c>
      <c r="L313" s="8">
        <v>4.0</v>
      </c>
      <c r="N313" s="12"/>
      <c r="Q313" s="11"/>
    </row>
    <row r="314">
      <c r="A314" s="7" t="s">
        <v>324</v>
      </c>
      <c r="B314" s="7" t="s">
        <v>14</v>
      </c>
      <c r="C314" s="7">
        <v>0.0</v>
      </c>
      <c r="D314" s="8">
        <v>15.0</v>
      </c>
      <c r="E314" s="8">
        <v>9.0</v>
      </c>
      <c r="F314" s="8">
        <v>0.0</v>
      </c>
      <c r="G314" s="7">
        <f t="shared" si="1"/>
        <v>24</v>
      </c>
      <c r="H314" s="7" t="s">
        <v>14</v>
      </c>
      <c r="I314" s="7" t="s">
        <v>14</v>
      </c>
      <c r="J314" s="8">
        <v>1.0</v>
      </c>
      <c r="K314" s="7" t="s">
        <v>14</v>
      </c>
      <c r="L314" s="8">
        <v>0.0</v>
      </c>
      <c r="Q314" s="11"/>
    </row>
    <row r="315">
      <c r="A315" s="7" t="s">
        <v>325</v>
      </c>
      <c r="B315" s="7" t="s">
        <v>14</v>
      </c>
      <c r="C315" s="13">
        <v>11.1</v>
      </c>
      <c r="D315" s="8">
        <v>15.0</v>
      </c>
      <c r="E315" s="8">
        <v>5.3</v>
      </c>
      <c r="F315" s="8">
        <v>5.0</v>
      </c>
      <c r="G315" s="7">
        <f t="shared" si="1"/>
        <v>36.4</v>
      </c>
      <c r="H315" s="7" t="s">
        <v>14</v>
      </c>
      <c r="I315" s="7" t="s">
        <v>14</v>
      </c>
      <c r="J315" s="8">
        <v>1.0</v>
      </c>
      <c r="K315" s="7" t="s">
        <v>14</v>
      </c>
      <c r="L315" s="8">
        <v>0.0</v>
      </c>
      <c r="N315" s="12"/>
      <c r="Q315" s="11"/>
    </row>
    <row r="316">
      <c r="A316" s="7" t="s">
        <v>326</v>
      </c>
      <c r="B316" s="7" t="s">
        <v>14</v>
      </c>
      <c r="C316" s="7">
        <v>15.0</v>
      </c>
      <c r="D316" s="8">
        <v>15.0</v>
      </c>
      <c r="E316" s="8">
        <v>11.2</v>
      </c>
      <c r="F316" s="8">
        <v>5.0</v>
      </c>
      <c r="G316" s="7">
        <f t="shared" si="1"/>
        <v>46.2</v>
      </c>
      <c r="H316" s="7" t="s">
        <v>14</v>
      </c>
      <c r="I316" s="7" t="s">
        <v>14</v>
      </c>
      <c r="J316" s="8">
        <v>0.0</v>
      </c>
      <c r="K316" s="7" t="s">
        <v>14</v>
      </c>
      <c r="L316" s="8">
        <v>1.0</v>
      </c>
      <c r="Q316" s="9"/>
    </row>
    <row r="317">
      <c r="A317" s="7" t="s">
        <v>327</v>
      </c>
      <c r="B317" s="7" t="s">
        <v>14</v>
      </c>
      <c r="C317" s="7">
        <v>0.0</v>
      </c>
      <c r="D317" s="8">
        <v>0.0</v>
      </c>
      <c r="E317" s="8">
        <v>10.5</v>
      </c>
      <c r="F317" s="8">
        <v>5.0</v>
      </c>
      <c r="G317" s="7">
        <f t="shared" si="1"/>
        <v>15.5</v>
      </c>
      <c r="H317" s="7" t="s">
        <v>14</v>
      </c>
      <c r="I317" s="7" t="s">
        <v>14</v>
      </c>
      <c r="J317" s="8">
        <v>1.0</v>
      </c>
      <c r="K317" s="7" t="s">
        <v>14</v>
      </c>
      <c r="L317" s="8">
        <v>0.0</v>
      </c>
      <c r="Q317" s="9"/>
      <c r="R317" s="11"/>
    </row>
    <row r="318">
      <c r="A318" s="7" t="s">
        <v>328</v>
      </c>
      <c r="B318" s="7" t="s">
        <v>14</v>
      </c>
      <c r="C318" s="8">
        <v>11.5</v>
      </c>
      <c r="D318" s="8">
        <v>0.0</v>
      </c>
      <c r="E318" s="8">
        <v>4.5</v>
      </c>
      <c r="F318" s="8">
        <v>5.0</v>
      </c>
      <c r="G318" s="7">
        <f t="shared" si="1"/>
        <v>21</v>
      </c>
      <c r="H318" s="7" t="s">
        <v>14</v>
      </c>
      <c r="I318" s="7" t="s">
        <v>14</v>
      </c>
      <c r="J318" s="8">
        <v>1.0</v>
      </c>
      <c r="K318" s="7" t="s">
        <v>14</v>
      </c>
      <c r="L318" s="8">
        <v>0.0</v>
      </c>
      <c r="Q318" s="9"/>
    </row>
    <row r="319">
      <c r="A319" s="7" t="s">
        <v>329</v>
      </c>
      <c r="B319" s="7" t="s">
        <v>14</v>
      </c>
      <c r="C319" s="7">
        <v>0.0</v>
      </c>
      <c r="D319" s="8">
        <v>0.0</v>
      </c>
      <c r="E319" s="7">
        <v>3.0</v>
      </c>
      <c r="F319" s="8">
        <v>5.0</v>
      </c>
      <c r="G319" s="7">
        <f t="shared" si="1"/>
        <v>8</v>
      </c>
      <c r="H319" s="7" t="s">
        <v>14</v>
      </c>
      <c r="I319" s="7" t="s">
        <v>14</v>
      </c>
      <c r="J319" s="8">
        <v>1.0</v>
      </c>
      <c r="K319" s="7" t="s">
        <v>14</v>
      </c>
      <c r="L319" s="8">
        <v>0.0</v>
      </c>
      <c r="Q319" s="9"/>
      <c r="R319" s="11"/>
    </row>
    <row r="320">
      <c r="A320" s="7" t="s">
        <v>330</v>
      </c>
      <c r="B320" s="7" t="s">
        <v>14</v>
      </c>
      <c r="C320" s="7">
        <v>0.0</v>
      </c>
      <c r="D320" s="8">
        <v>15.0</v>
      </c>
      <c r="E320" s="7">
        <v>4.1</v>
      </c>
      <c r="F320" s="8">
        <v>5.0</v>
      </c>
      <c r="G320" s="7">
        <f t="shared" si="1"/>
        <v>24.1</v>
      </c>
      <c r="H320" s="7" t="s">
        <v>14</v>
      </c>
      <c r="I320" s="7" t="s">
        <v>14</v>
      </c>
      <c r="J320" s="8">
        <v>0.0</v>
      </c>
      <c r="K320" s="7" t="s">
        <v>14</v>
      </c>
      <c r="L320" s="8">
        <v>1.0</v>
      </c>
      <c r="Q320" s="9"/>
      <c r="R320" s="11"/>
    </row>
    <row r="321">
      <c r="A321" s="7" t="s">
        <v>331</v>
      </c>
      <c r="B321" s="7" t="s">
        <v>14</v>
      </c>
      <c r="C321" s="7">
        <v>0.0</v>
      </c>
      <c r="D321" s="8">
        <v>0.0</v>
      </c>
      <c r="E321" s="7">
        <v>6.8</v>
      </c>
      <c r="F321" s="8">
        <v>5.0</v>
      </c>
      <c r="G321" s="7">
        <f t="shared" si="1"/>
        <v>11.8</v>
      </c>
      <c r="H321" s="7" t="s">
        <v>14</v>
      </c>
      <c r="I321" s="7" t="s">
        <v>14</v>
      </c>
      <c r="J321" s="8">
        <v>1.0</v>
      </c>
      <c r="K321" s="7" t="s">
        <v>14</v>
      </c>
      <c r="L321" s="8">
        <v>0.0</v>
      </c>
      <c r="Q321" s="9"/>
      <c r="R321" s="11"/>
    </row>
    <row r="322">
      <c r="A322" s="7" t="s">
        <v>332</v>
      </c>
      <c r="B322" s="7" t="s">
        <v>14</v>
      </c>
      <c r="C322" s="7">
        <v>20.0</v>
      </c>
      <c r="D322" s="8">
        <v>0.0</v>
      </c>
      <c r="E322" s="8">
        <v>7.5</v>
      </c>
      <c r="F322" s="8">
        <v>5.0</v>
      </c>
      <c r="G322" s="7">
        <f t="shared" si="1"/>
        <v>32.5</v>
      </c>
      <c r="H322" s="7" t="s">
        <v>14</v>
      </c>
      <c r="I322" s="7" t="s">
        <v>14</v>
      </c>
      <c r="J322" s="8">
        <v>2.0</v>
      </c>
      <c r="K322" s="7" t="s">
        <v>14</v>
      </c>
      <c r="L322" s="8">
        <v>2.0</v>
      </c>
      <c r="Q322" s="9"/>
      <c r="R322" s="11"/>
    </row>
    <row r="323">
      <c r="A323" s="7" t="s">
        <v>333</v>
      </c>
      <c r="B323" s="7" t="s">
        <v>14</v>
      </c>
      <c r="C323" s="7">
        <v>20.0</v>
      </c>
      <c r="D323" s="8">
        <v>0.0</v>
      </c>
      <c r="E323" s="8">
        <v>8.2</v>
      </c>
      <c r="F323" s="8">
        <v>30.0</v>
      </c>
      <c r="G323" s="7">
        <f t="shared" si="1"/>
        <v>58.2</v>
      </c>
      <c r="H323" s="7" t="s">
        <v>14</v>
      </c>
      <c r="I323" s="7" t="s">
        <v>14</v>
      </c>
      <c r="J323" s="8">
        <v>2.0</v>
      </c>
      <c r="K323" s="7" t="s">
        <v>14</v>
      </c>
      <c r="L323" s="8">
        <v>0.0</v>
      </c>
      <c r="Q323" s="9"/>
      <c r="R323" s="11"/>
    </row>
    <row r="324">
      <c r="A324" s="7" t="s">
        <v>334</v>
      </c>
      <c r="B324" s="7" t="s">
        <v>14</v>
      </c>
      <c r="C324" s="7">
        <v>20.0</v>
      </c>
      <c r="D324" s="8">
        <v>0.0</v>
      </c>
      <c r="E324" s="8">
        <v>6.7</v>
      </c>
      <c r="F324" s="8">
        <v>0.0</v>
      </c>
      <c r="G324" s="7">
        <f t="shared" si="1"/>
        <v>26.7</v>
      </c>
      <c r="H324" s="7" t="s">
        <v>14</v>
      </c>
      <c r="I324" s="7" t="s">
        <v>14</v>
      </c>
      <c r="J324" s="8">
        <v>1.0</v>
      </c>
      <c r="K324" s="7" t="s">
        <v>14</v>
      </c>
      <c r="L324" s="8">
        <v>0.0</v>
      </c>
      <c r="Q324" s="9"/>
      <c r="R324" s="11"/>
    </row>
    <row r="325">
      <c r="A325" s="7" t="s">
        <v>335</v>
      </c>
      <c r="B325" s="7" t="s">
        <v>14</v>
      </c>
      <c r="C325" s="7">
        <v>0.0</v>
      </c>
      <c r="D325" s="8">
        <v>15.0</v>
      </c>
      <c r="E325" s="8">
        <v>4.5</v>
      </c>
      <c r="F325" s="8">
        <v>5.0</v>
      </c>
      <c r="G325" s="7">
        <f t="shared" si="1"/>
        <v>24.5</v>
      </c>
      <c r="H325" s="7" t="s">
        <v>14</v>
      </c>
      <c r="I325" s="7" t="s">
        <v>14</v>
      </c>
      <c r="J325" s="8">
        <v>1.0</v>
      </c>
      <c r="K325" s="7" t="s">
        <v>14</v>
      </c>
      <c r="L325" s="8">
        <v>0.0</v>
      </c>
      <c r="Q325" s="9"/>
      <c r="R325" s="11"/>
    </row>
    <row r="326">
      <c r="A326" s="7" t="s">
        <v>336</v>
      </c>
      <c r="B326" s="7" t="s">
        <v>14</v>
      </c>
      <c r="C326" s="8">
        <v>15.1</v>
      </c>
      <c r="D326" s="8">
        <v>0.0</v>
      </c>
      <c r="E326" s="8">
        <v>2.2</v>
      </c>
      <c r="F326" s="8">
        <v>5.0</v>
      </c>
      <c r="G326" s="7">
        <f t="shared" si="1"/>
        <v>22.3</v>
      </c>
      <c r="H326" s="7" t="s">
        <v>14</v>
      </c>
      <c r="I326" s="7" t="s">
        <v>14</v>
      </c>
      <c r="J326" s="8">
        <v>4.0</v>
      </c>
      <c r="K326" s="7" t="s">
        <v>14</v>
      </c>
      <c r="L326" s="8">
        <v>0.0</v>
      </c>
      <c r="Q326" s="9"/>
      <c r="R326" s="11"/>
    </row>
    <row r="327">
      <c r="A327" s="7" t="s">
        <v>337</v>
      </c>
      <c r="B327" s="7" t="s">
        <v>14</v>
      </c>
      <c r="C327" s="8">
        <v>14.5</v>
      </c>
      <c r="D327" s="8">
        <v>0.0</v>
      </c>
      <c r="E327" s="8">
        <v>3.0</v>
      </c>
      <c r="F327" s="8">
        <v>5.0</v>
      </c>
      <c r="G327" s="7">
        <f t="shared" si="1"/>
        <v>22.5</v>
      </c>
      <c r="H327" s="7" t="s">
        <v>14</v>
      </c>
      <c r="I327" s="7" t="s">
        <v>14</v>
      </c>
      <c r="J327" s="8">
        <v>2.0</v>
      </c>
      <c r="K327" s="7" t="s">
        <v>14</v>
      </c>
      <c r="L327" s="8">
        <v>2.0</v>
      </c>
      <c r="Q327" s="9"/>
      <c r="R327" s="11"/>
    </row>
    <row r="328">
      <c r="A328" s="7" t="s">
        <v>338</v>
      </c>
      <c r="B328" s="7" t="s">
        <v>14</v>
      </c>
      <c r="C328" s="7">
        <v>0.0</v>
      </c>
      <c r="D328" s="8">
        <v>0.0</v>
      </c>
      <c r="E328" s="7">
        <v>9.8</v>
      </c>
      <c r="F328" s="8">
        <v>5.0</v>
      </c>
      <c r="G328" s="7">
        <f t="shared" si="1"/>
        <v>14.8</v>
      </c>
      <c r="H328" s="7" t="s">
        <v>14</v>
      </c>
      <c r="I328" s="7" t="s">
        <v>14</v>
      </c>
      <c r="J328" s="8">
        <v>0.0</v>
      </c>
      <c r="K328" s="7" t="s">
        <v>14</v>
      </c>
      <c r="L328" s="8">
        <v>1.0</v>
      </c>
      <c r="Q328" s="9"/>
      <c r="R328" s="11"/>
    </row>
    <row r="329">
      <c r="A329" s="7" t="s">
        <v>339</v>
      </c>
      <c r="B329" s="7" t="s">
        <v>14</v>
      </c>
      <c r="C329" s="8">
        <v>15.4</v>
      </c>
      <c r="D329" s="8">
        <v>0.0</v>
      </c>
      <c r="E329" s="8">
        <v>9.7</v>
      </c>
      <c r="F329" s="8">
        <v>5.0</v>
      </c>
      <c r="G329" s="7">
        <f t="shared" si="1"/>
        <v>30.1</v>
      </c>
      <c r="H329" s="7" t="s">
        <v>14</v>
      </c>
      <c r="I329" s="7" t="s">
        <v>14</v>
      </c>
      <c r="J329" s="8">
        <v>0.0</v>
      </c>
      <c r="K329" s="7" t="s">
        <v>14</v>
      </c>
      <c r="L329" s="8">
        <v>1.0</v>
      </c>
      <c r="Q329" s="9"/>
      <c r="R329" s="11"/>
    </row>
    <row r="330">
      <c r="A330" s="7" t="s">
        <v>340</v>
      </c>
      <c r="B330" s="7" t="s">
        <v>14</v>
      </c>
      <c r="C330" s="7">
        <v>12.5</v>
      </c>
      <c r="D330" s="8">
        <v>15.0</v>
      </c>
      <c r="E330" s="7">
        <v>10.5</v>
      </c>
      <c r="F330" s="8">
        <v>5.0</v>
      </c>
      <c r="G330" s="7">
        <f t="shared" si="1"/>
        <v>43</v>
      </c>
      <c r="H330" s="7" t="s">
        <v>14</v>
      </c>
      <c r="I330" s="7" t="s">
        <v>14</v>
      </c>
      <c r="J330" s="8">
        <v>1.0</v>
      </c>
      <c r="K330" s="7" t="s">
        <v>14</v>
      </c>
      <c r="L330" s="8">
        <v>0.0</v>
      </c>
      <c r="Q330" s="9"/>
      <c r="R330" s="11"/>
    </row>
    <row r="331">
      <c r="A331" s="7" t="s">
        <v>341</v>
      </c>
      <c r="B331" s="7" t="s">
        <v>14</v>
      </c>
      <c r="C331" s="8">
        <v>15.1</v>
      </c>
      <c r="D331" s="8">
        <v>15.0</v>
      </c>
      <c r="E331" s="8">
        <v>6.7</v>
      </c>
      <c r="F331" s="8">
        <v>5.0</v>
      </c>
      <c r="G331" s="7">
        <f t="shared" si="1"/>
        <v>41.8</v>
      </c>
      <c r="H331" s="7" t="s">
        <v>14</v>
      </c>
      <c r="I331" s="7" t="s">
        <v>14</v>
      </c>
      <c r="J331" s="8">
        <v>1.0</v>
      </c>
      <c r="K331" s="7" t="s">
        <v>14</v>
      </c>
      <c r="L331" s="8">
        <v>0.0</v>
      </c>
      <c r="Q331" s="9"/>
      <c r="R331" s="11"/>
    </row>
    <row r="332">
      <c r="A332" s="7" t="s">
        <v>342</v>
      </c>
      <c r="B332" s="7" t="s">
        <v>14</v>
      </c>
      <c r="C332" s="7">
        <v>15.5</v>
      </c>
      <c r="D332" s="8">
        <v>15.0</v>
      </c>
      <c r="E332" s="8">
        <v>6.7</v>
      </c>
      <c r="F332" s="8">
        <v>0.0</v>
      </c>
      <c r="G332" s="7">
        <f t="shared" si="1"/>
        <v>37.2</v>
      </c>
      <c r="H332" s="7" t="s">
        <v>14</v>
      </c>
      <c r="I332" s="7" t="s">
        <v>14</v>
      </c>
      <c r="J332" s="8">
        <v>1.0</v>
      </c>
      <c r="K332" s="7" t="s">
        <v>14</v>
      </c>
      <c r="L332" s="8">
        <v>1.0</v>
      </c>
      <c r="Q332" s="9"/>
    </row>
    <row r="333">
      <c r="A333" s="7" t="s">
        <v>343</v>
      </c>
      <c r="B333" s="7" t="s">
        <v>14</v>
      </c>
      <c r="C333" s="7">
        <v>0.0</v>
      </c>
      <c r="D333" s="8">
        <v>15.0</v>
      </c>
      <c r="E333" s="8">
        <v>2.2</v>
      </c>
      <c r="F333" s="8">
        <v>0.0</v>
      </c>
      <c r="G333" s="7">
        <f t="shared" si="1"/>
        <v>17.2</v>
      </c>
      <c r="H333" s="7" t="s">
        <v>14</v>
      </c>
      <c r="I333" s="7" t="s">
        <v>14</v>
      </c>
      <c r="J333" s="8">
        <v>1.0</v>
      </c>
      <c r="K333" s="7" t="s">
        <v>14</v>
      </c>
      <c r="L333" s="8">
        <v>1.0</v>
      </c>
      <c r="Q333" s="9"/>
    </row>
    <row r="334">
      <c r="A334" s="7" t="s">
        <v>344</v>
      </c>
      <c r="B334" s="7" t="s">
        <v>14</v>
      </c>
      <c r="C334" s="8">
        <v>17.5</v>
      </c>
      <c r="D334" s="8">
        <v>15.0</v>
      </c>
      <c r="E334" s="8">
        <v>4.5</v>
      </c>
      <c r="F334" s="8">
        <v>15.0</v>
      </c>
      <c r="G334" s="7">
        <f t="shared" si="1"/>
        <v>52</v>
      </c>
      <c r="H334" s="7" t="s">
        <v>14</v>
      </c>
      <c r="I334" s="7" t="s">
        <v>14</v>
      </c>
      <c r="J334" s="8">
        <v>2.0</v>
      </c>
      <c r="K334" s="7" t="s">
        <v>14</v>
      </c>
      <c r="L334" s="8">
        <v>0.0</v>
      </c>
      <c r="Q334" s="9"/>
    </row>
    <row r="335">
      <c r="A335" s="7" t="s">
        <v>345</v>
      </c>
      <c r="B335" s="7" t="s">
        <v>14</v>
      </c>
      <c r="C335" s="7">
        <v>0.0</v>
      </c>
      <c r="D335" s="8">
        <v>15.0</v>
      </c>
      <c r="E335" s="8">
        <v>2.2</v>
      </c>
      <c r="F335" s="8">
        <v>5.0</v>
      </c>
      <c r="G335" s="7">
        <f t="shared" si="1"/>
        <v>22.2</v>
      </c>
      <c r="H335" s="7" t="s">
        <v>14</v>
      </c>
      <c r="I335" s="7" t="s">
        <v>14</v>
      </c>
      <c r="J335" s="8">
        <v>1.0</v>
      </c>
      <c r="K335" s="7" t="s">
        <v>14</v>
      </c>
      <c r="L335" s="8">
        <v>1.0</v>
      </c>
      <c r="O335" s="23"/>
      <c r="Q335" s="9"/>
      <c r="R335" s="11"/>
    </row>
    <row r="336">
      <c r="A336" s="7" t="s">
        <v>346</v>
      </c>
      <c r="B336" s="7" t="s">
        <v>14</v>
      </c>
      <c r="C336" s="7">
        <v>0.0</v>
      </c>
      <c r="D336" s="8">
        <v>15.0</v>
      </c>
      <c r="E336" s="7">
        <v>5.6</v>
      </c>
      <c r="F336" s="8">
        <v>0.0</v>
      </c>
      <c r="G336" s="7">
        <f t="shared" si="1"/>
        <v>20.6</v>
      </c>
      <c r="H336" s="7" t="s">
        <v>14</v>
      </c>
      <c r="I336" s="7" t="s">
        <v>14</v>
      </c>
      <c r="J336" s="8">
        <v>0.0</v>
      </c>
      <c r="K336" s="7" t="s">
        <v>14</v>
      </c>
      <c r="L336" s="8">
        <v>1.0</v>
      </c>
      <c r="Q336" s="9"/>
      <c r="R336" s="11"/>
    </row>
    <row r="337">
      <c r="A337" s="7" t="s">
        <v>347</v>
      </c>
      <c r="B337" s="7" t="s">
        <v>14</v>
      </c>
      <c r="C337" s="8">
        <v>13.2</v>
      </c>
      <c r="D337" s="8">
        <v>0.0</v>
      </c>
      <c r="E337" s="8">
        <v>6.7</v>
      </c>
      <c r="F337" s="8">
        <v>0.0</v>
      </c>
      <c r="G337" s="7">
        <f t="shared" si="1"/>
        <v>19.9</v>
      </c>
      <c r="H337" s="7" t="s">
        <v>14</v>
      </c>
      <c r="I337" s="7" t="s">
        <v>14</v>
      </c>
      <c r="J337" s="8">
        <v>0.0</v>
      </c>
      <c r="K337" s="7" t="s">
        <v>14</v>
      </c>
      <c r="L337" s="8">
        <v>1.0</v>
      </c>
      <c r="Q337" s="9"/>
    </row>
    <row r="338">
      <c r="A338" s="7" t="s">
        <v>348</v>
      </c>
      <c r="B338" s="7" t="s">
        <v>14</v>
      </c>
      <c r="C338" s="7">
        <v>0.0</v>
      </c>
      <c r="D338" s="8">
        <v>15.0</v>
      </c>
      <c r="E338" s="8">
        <v>8.2</v>
      </c>
      <c r="F338" s="8">
        <v>5.0</v>
      </c>
      <c r="G338" s="7">
        <f t="shared" si="1"/>
        <v>28.2</v>
      </c>
      <c r="H338" s="7" t="s">
        <v>14</v>
      </c>
      <c r="I338" s="7" t="s">
        <v>14</v>
      </c>
      <c r="J338" s="8">
        <v>1.0</v>
      </c>
      <c r="K338" s="7" t="s">
        <v>14</v>
      </c>
      <c r="L338" s="8">
        <v>0.0</v>
      </c>
      <c r="Q338" s="9"/>
    </row>
    <row r="339">
      <c r="A339" s="7" t="s">
        <v>349</v>
      </c>
      <c r="B339" s="7" t="s">
        <v>14</v>
      </c>
      <c r="C339" s="8">
        <v>15.2</v>
      </c>
      <c r="D339" s="8">
        <v>0.0</v>
      </c>
      <c r="E339" s="8">
        <v>5.3</v>
      </c>
      <c r="F339" s="8">
        <v>5.0</v>
      </c>
      <c r="G339" s="7">
        <f t="shared" si="1"/>
        <v>25.5</v>
      </c>
      <c r="H339" s="7" t="s">
        <v>14</v>
      </c>
      <c r="I339" s="7" t="s">
        <v>14</v>
      </c>
      <c r="J339" s="8">
        <v>1.0</v>
      </c>
      <c r="K339" s="7" t="s">
        <v>14</v>
      </c>
      <c r="L339" s="8">
        <v>0.0</v>
      </c>
      <c r="Q339" s="9"/>
      <c r="R339" s="11"/>
    </row>
    <row r="340">
      <c r="A340" s="7" t="s">
        <v>350</v>
      </c>
      <c r="B340" s="7" t="s">
        <v>14</v>
      </c>
      <c r="C340" s="7">
        <v>0.0</v>
      </c>
      <c r="D340" s="8">
        <v>15.0</v>
      </c>
      <c r="E340" s="8">
        <v>4.5</v>
      </c>
      <c r="F340" s="8">
        <v>0.0</v>
      </c>
      <c r="G340" s="7">
        <f t="shared" si="1"/>
        <v>19.5</v>
      </c>
      <c r="H340" s="7" t="s">
        <v>14</v>
      </c>
      <c r="I340" s="7" t="s">
        <v>14</v>
      </c>
      <c r="J340" s="8">
        <v>1.0</v>
      </c>
      <c r="K340" s="7" t="s">
        <v>14</v>
      </c>
      <c r="L340" s="8">
        <v>1.0</v>
      </c>
      <c r="Q340" s="9"/>
      <c r="R340" s="11"/>
    </row>
    <row r="341">
      <c r="A341" s="30" t="s">
        <v>351</v>
      </c>
      <c r="B341" s="7" t="s">
        <v>14</v>
      </c>
      <c r="C341" s="7">
        <v>0.0</v>
      </c>
      <c r="D341" s="8">
        <v>15.0</v>
      </c>
      <c r="E341" s="8">
        <v>4.5</v>
      </c>
      <c r="F341" s="8">
        <v>0.0</v>
      </c>
      <c r="G341" s="7">
        <f t="shared" si="1"/>
        <v>19.5</v>
      </c>
      <c r="H341" s="7" t="s">
        <v>14</v>
      </c>
      <c r="I341" s="7" t="s">
        <v>14</v>
      </c>
      <c r="J341" s="8">
        <v>1.0</v>
      </c>
      <c r="K341" s="7" t="s">
        <v>14</v>
      </c>
      <c r="L341" s="8">
        <v>1.0</v>
      </c>
      <c r="Q341" s="9"/>
      <c r="R341" s="11"/>
    </row>
    <row r="342">
      <c r="A342" s="7" t="s">
        <v>352</v>
      </c>
      <c r="B342" s="7" t="s">
        <v>14</v>
      </c>
      <c r="C342" s="8">
        <v>5.6</v>
      </c>
      <c r="D342" s="8">
        <v>15.0</v>
      </c>
      <c r="E342" s="8">
        <v>0.0</v>
      </c>
      <c r="F342" s="8">
        <v>5.0</v>
      </c>
      <c r="G342" s="7">
        <f t="shared" si="1"/>
        <v>25.6</v>
      </c>
      <c r="H342" s="7" t="s">
        <v>14</v>
      </c>
      <c r="I342" s="7" t="s">
        <v>14</v>
      </c>
      <c r="J342" s="8">
        <v>1.0</v>
      </c>
      <c r="K342" s="7" t="s">
        <v>14</v>
      </c>
      <c r="L342" s="8">
        <v>0.0</v>
      </c>
      <c r="Q342" s="9"/>
      <c r="R342" s="11"/>
    </row>
    <row r="343">
      <c r="A343" s="7" t="s">
        <v>353</v>
      </c>
      <c r="B343" s="7" t="s">
        <v>14</v>
      </c>
      <c r="C343" s="8">
        <v>11.6</v>
      </c>
      <c r="D343" s="8">
        <v>15.0</v>
      </c>
      <c r="E343" s="8">
        <v>3.8</v>
      </c>
      <c r="F343" s="8">
        <v>5.0</v>
      </c>
      <c r="G343" s="7">
        <f t="shared" si="1"/>
        <v>35.4</v>
      </c>
      <c r="H343" s="7" t="s">
        <v>14</v>
      </c>
      <c r="I343" s="7" t="s">
        <v>14</v>
      </c>
      <c r="J343" s="8">
        <v>1.0</v>
      </c>
      <c r="K343" s="7" t="s">
        <v>14</v>
      </c>
      <c r="L343" s="8">
        <v>1.0</v>
      </c>
      <c r="Q343" s="9"/>
      <c r="R343" s="11"/>
    </row>
    <row r="344">
      <c r="A344" s="7" t="s">
        <v>354</v>
      </c>
      <c r="B344" s="7" t="s">
        <v>14</v>
      </c>
      <c r="C344" s="7">
        <v>10.2</v>
      </c>
      <c r="D344" s="8">
        <v>0.0</v>
      </c>
      <c r="E344" s="8">
        <v>5.3</v>
      </c>
      <c r="F344" s="8">
        <v>5.0</v>
      </c>
      <c r="G344" s="7">
        <f t="shared" si="1"/>
        <v>20.5</v>
      </c>
      <c r="H344" s="7" t="s">
        <v>14</v>
      </c>
      <c r="I344" s="7" t="s">
        <v>14</v>
      </c>
      <c r="J344" s="8">
        <v>2.0</v>
      </c>
      <c r="K344" s="7" t="s">
        <v>14</v>
      </c>
      <c r="L344" s="8">
        <v>2.0</v>
      </c>
      <c r="Q344" s="9"/>
      <c r="R344" s="11"/>
    </row>
    <row r="345">
      <c r="A345" s="7" t="s">
        <v>355</v>
      </c>
      <c r="B345" s="7" t="s">
        <v>14</v>
      </c>
      <c r="C345" s="8">
        <v>15.5</v>
      </c>
      <c r="D345" s="8">
        <v>15.0</v>
      </c>
      <c r="E345" s="8">
        <v>4.5</v>
      </c>
      <c r="F345" s="8">
        <v>5.0</v>
      </c>
      <c r="G345" s="7">
        <f t="shared" si="1"/>
        <v>40</v>
      </c>
      <c r="H345" s="7" t="s">
        <v>14</v>
      </c>
      <c r="I345" s="7" t="s">
        <v>14</v>
      </c>
      <c r="J345" s="8">
        <v>1.0</v>
      </c>
      <c r="K345" s="7" t="s">
        <v>14</v>
      </c>
      <c r="L345" s="8">
        <v>0.0</v>
      </c>
      <c r="Q345" s="9"/>
      <c r="R345" s="11"/>
    </row>
    <row r="346">
      <c r="A346" s="7" t="s">
        <v>356</v>
      </c>
      <c r="B346" s="7" t="s">
        <v>14</v>
      </c>
      <c r="C346" s="8">
        <v>15.3</v>
      </c>
      <c r="D346" s="8">
        <v>0.0</v>
      </c>
      <c r="E346" s="8">
        <v>4.5</v>
      </c>
      <c r="F346" s="8">
        <v>5.0</v>
      </c>
      <c r="G346" s="7">
        <f t="shared" si="1"/>
        <v>24.8</v>
      </c>
      <c r="H346" s="7" t="s">
        <v>14</v>
      </c>
      <c r="I346" s="7" t="s">
        <v>14</v>
      </c>
      <c r="J346" s="8">
        <v>1.0</v>
      </c>
      <c r="K346" s="7" t="s">
        <v>14</v>
      </c>
      <c r="L346" s="8">
        <v>0.0</v>
      </c>
      <c r="Q346" s="9"/>
      <c r="R346" s="11"/>
    </row>
    <row r="347">
      <c r="A347" s="7" t="s">
        <v>357</v>
      </c>
      <c r="B347" s="7" t="s">
        <v>14</v>
      </c>
      <c r="C347" s="7">
        <v>15.0</v>
      </c>
      <c r="D347" s="8">
        <v>15.0</v>
      </c>
      <c r="E347" s="8">
        <v>6.7</v>
      </c>
      <c r="F347" s="8">
        <v>0.0</v>
      </c>
      <c r="G347" s="7">
        <f t="shared" si="1"/>
        <v>36.7</v>
      </c>
      <c r="H347" s="7" t="s">
        <v>14</v>
      </c>
      <c r="I347" s="7" t="s">
        <v>14</v>
      </c>
      <c r="J347" s="8">
        <v>1.0</v>
      </c>
      <c r="K347" s="7" t="s">
        <v>14</v>
      </c>
      <c r="L347" s="8">
        <v>1.0</v>
      </c>
      <c r="Q347" s="9"/>
    </row>
    <row r="348">
      <c r="A348" s="7" t="s">
        <v>358</v>
      </c>
      <c r="B348" s="7" t="s">
        <v>14</v>
      </c>
      <c r="C348" s="7">
        <v>0.0</v>
      </c>
      <c r="D348" s="8">
        <v>0.0</v>
      </c>
      <c r="E348" s="8">
        <v>3.8</v>
      </c>
      <c r="F348" s="8">
        <v>5.0</v>
      </c>
      <c r="G348" s="7">
        <f t="shared" si="1"/>
        <v>8.8</v>
      </c>
      <c r="H348" s="7" t="s">
        <v>14</v>
      </c>
      <c r="I348" s="7" t="s">
        <v>14</v>
      </c>
      <c r="J348" s="8">
        <v>0.0</v>
      </c>
      <c r="K348" s="7" t="s">
        <v>14</v>
      </c>
      <c r="L348" s="8">
        <v>1.0</v>
      </c>
      <c r="Q348" s="9"/>
    </row>
    <row r="349">
      <c r="A349" s="7" t="s">
        <v>359</v>
      </c>
      <c r="B349" s="7" t="s">
        <v>14</v>
      </c>
      <c r="C349" s="7">
        <v>12.5</v>
      </c>
      <c r="D349" s="8">
        <v>0.0</v>
      </c>
      <c r="E349" s="8">
        <v>4.5</v>
      </c>
      <c r="F349" s="8">
        <v>0.0</v>
      </c>
      <c r="G349" s="7">
        <f t="shared" si="1"/>
        <v>17</v>
      </c>
      <c r="H349" s="7" t="s">
        <v>14</v>
      </c>
      <c r="I349" s="7" t="s">
        <v>14</v>
      </c>
      <c r="J349" s="8">
        <v>2.0</v>
      </c>
      <c r="K349" s="7" t="s">
        <v>14</v>
      </c>
      <c r="L349" s="8">
        <v>0.0</v>
      </c>
      <c r="Q349" s="9"/>
    </row>
    <row r="350">
      <c r="A350" s="7" t="s">
        <v>360</v>
      </c>
      <c r="B350" s="7" t="s">
        <v>14</v>
      </c>
      <c r="C350" s="7">
        <v>0.0</v>
      </c>
      <c r="D350" s="8">
        <v>15.0</v>
      </c>
      <c r="E350" s="8">
        <v>3.0</v>
      </c>
      <c r="F350" s="8">
        <v>0.0</v>
      </c>
      <c r="G350" s="7">
        <f t="shared" si="1"/>
        <v>18</v>
      </c>
      <c r="H350" s="7" t="s">
        <v>14</v>
      </c>
      <c r="I350" s="7" t="s">
        <v>14</v>
      </c>
      <c r="J350" s="8">
        <v>1.0</v>
      </c>
      <c r="K350" s="7" t="s">
        <v>14</v>
      </c>
      <c r="L350" s="8">
        <v>0.0</v>
      </c>
      <c r="Q350" s="9"/>
      <c r="R350" s="11"/>
    </row>
    <row r="351">
      <c r="A351" s="7" t="s">
        <v>361</v>
      </c>
      <c r="B351" s="7" t="s">
        <v>14</v>
      </c>
      <c r="C351" s="7">
        <v>10.0</v>
      </c>
      <c r="D351" s="8">
        <v>15.0</v>
      </c>
      <c r="E351" s="8">
        <v>6.0</v>
      </c>
      <c r="F351" s="8">
        <v>0.0</v>
      </c>
      <c r="G351" s="7">
        <f t="shared" si="1"/>
        <v>31</v>
      </c>
      <c r="H351" s="7" t="s">
        <v>14</v>
      </c>
      <c r="I351" s="7" t="s">
        <v>14</v>
      </c>
      <c r="J351" s="8">
        <v>1.0</v>
      </c>
      <c r="K351" s="7" t="s">
        <v>14</v>
      </c>
      <c r="L351" s="8">
        <v>1.0</v>
      </c>
      <c r="Q351" s="9"/>
      <c r="R351" s="11"/>
    </row>
    <row r="352">
      <c r="A352" s="7" t="s">
        <v>362</v>
      </c>
      <c r="B352" s="7" t="s">
        <v>14</v>
      </c>
      <c r="C352" s="7">
        <v>10.0</v>
      </c>
      <c r="D352" s="8">
        <v>15.0</v>
      </c>
      <c r="E352" s="8">
        <v>6.7</v>
      </c>
      <c r="F352" s="8">
        <v>5.0</v>
      </c>
      <c r="G352" s="7">
        <f t="shared" si="1"/>
        <v>36.7</v>
      </c>
      <c r="H352" s="7" t="s">
        <v>14</v>
      </c>
      <c r="I352" s="7" t="s">
        <v>14</v>
      </c>
      <c r="J352" s="8">
        <v>1.0</v>
      </c>
      <c r="K352" s="7" t="s">
        <v>14</v>
      </c>
      <c r="L352" s="8">
        <v>1.0</v>
      </c>
      <c r="Q352" s="9"/>
    </row>
    <row r="353">
      <c r="A353" s="7" t="s">
        <v>363</v>
      </c>
      <c r="B353" s="7" t="s">
        <v>14</v>
      </c>
      <c r="C353" s="8">
        <v>5.4</v>
      </c>
      <c r="D353" s="8">
        <v>15.0</v>
      </c>
      <c r="E353" s="8">
        <v>3.0</v>
      </c>
      <c r="F353" s="8">
        <v>0.0</v>
      </c>
      <c r="G353" s="7">
        <f t="shared" si="1"/>
        <v>23.4</v>
      </c>
      <c r="H353" s="7" t="s">
        <v>14</v>
      </c>
      <c r="I353" s="7" t="s">
        <v>14</v>
      </c>
      <c r="J353" s="8">
        <v>1.0</v>
      </c>
      <c r="K353" s="7" t="s">
        <v>14</v>
      </c>
      <c r="L353" s="8">
        <v>0.0</v>
      </c>
      <c r="Q353" s="9"/>
      <c r="R353" s="11"/>
    </row>
    <row r="354">
      <c r="A354" s="7" t="s">
        <v>364</v>
      </c>
      <c r="B354" s="7" t="s">
        <v>14</v>
      </c>
      <c r="C354" s="8">
        <v>15.3</v>
      </c>
      <c r="D354" s="8">
        <v>0.0</v>
      </c>
      <c r="E354" s="8">
        <v>7.5</v>
      </c>
      <c r="F354" s="8">
        <v>5.0</v>
      </c>
      <c r="G354" s="7">
        <f t="shared" si="1"/>
        <v>27.8</v>
      </c>
      <c r="H354" s="7" t="s">
        <v>14</v>
      </c>
      <c r="I354" s="7" t="s">
        <v>14</v>
      </c>
      <c r="J354" s="8">
        <v>0.0</v>
      </c>
      <c r="K354" s="7" t="s">
        <v>14</v>
      </c>
      <c r="L354" s="8">
        <v>1.0</v>
      </c>
      <c r="Q354" s="9"/>
      <c r="R354" s="11"/>
    </row>
    <row r="355">
      <c r="A355" s="7" t="s">
        <v>365</v>
      </c>
      <c r="B355" s="7" t="s">
        <v>14</v>
      </c>
      <c r="C355" s="7">
        <v>0.0</v>
      </c>
      <c r="D355" s="8">
        <v>15.0</v>
      </c>
      <c r="E355" s="8">
        <v>0.0</v>
      </c>
      <c r="F355" s="8">
        <v>0.0</v>
      </c>
      <c r="G355" s="7">
        <f t="shared" si="1"/>
        <v>15</v>
      </c>
      <c r="H355" s="7" t="s">
        <v>14</v>
      </c>
      <c r="I355" s="7" t="s">
        <v>14</v>
      </c>
      <c r="J355" s="8">
        <v>1.0</v>
      </c>
      <c r="K355" s="7" t="s">
        <v>14</v>
      </c>
      <c r="L355" s="8">
        <v>1.0</v>
      </c>
      <c r="Q355" s="9"/>
      <c r="R355" s="11"/>
    </row>
    <row r="356">
      <c r="A356" s="7" t="s">
        <v>366</v>
      </c>
      <c r="B356" s="7" t="s">
        <v>14</v>
      </c>
      <c r="C356" s="7">
        <v>9.6</v>
      </c>
      <c r="D356" s="8">
        <v>15.0</v>
      </c>
      <c r="E356" s="8">
        <v>6.0</v>
      </c>
      <c r="F356" s="8">
        <v>0.0</v>
      </c>
      <c r="G356" s="7">
        <f t="shared" si="1"/>
        <v>30.6</v>
      </c>
      <c r="H356" s="7" t="s">
        <v>14</v>
      </c>
      <c r="I356" s="7" t="s">
        <v>14</v>
      </c>
      <c r="J356" s="8">
        <v>1.0</v>
      </c>
      <c r="K356" s="7" t="s">
        <v>14</v>
      </c>
      <c r="L356" s="8">
        <v>0.0</v>
      </c>
      <c r="Q356" s="9"/>
      <c r="R356" s="11"/>
    </row>
    <row r="357">
      <c r="A357" s="7" t="s">
        <v>367</v>
      </c>
      <c r="B357" s="7" t="s">
        <v>14</v>
      </c>
      <c r="C357" s="8">
        <v>20.0</v>
      </c>
      <c r="D357" s="8">
        <v>15.0</v>
      </c>
      <c r="E357" s="8">
        <v>1.5</v>
      </c>
      <c r="F357" s="8">
        <v>10.0</v>
      </c>
      <c r="G357" s="7">
        <f t="shared" si="1"/>
        <v>46.5</v>
      </c>
      <c r="H357" s="7" t="s">
        <v>14</v>
      </c>
      <c r="I357" s="7" t="s">
        <v>14</v>
      </c>
      <c r="J357" s="8">
        <v>1.0</v>
      </c>
      <c r="K357" s="7" t="s">
        <v>14</v>
      </c>
      <c r="L357" s="8">
        <v>1.0</v>
      </c>
      <c r="Q357" s="9"/>
      <c r="R357" s="11"/>
    </row>
    <row r="358">
      <c r="A358" s="7" t="s">
        <v>368</v>
      </c>
      <c r="B358" s="7" t="s">
        <v>14</v>
      </c>
      <c r="C358" s="7">
        <v>11.2</v>
      </c>
      <c r="D358" s="8">
        <v>15.0</v>
      </c>
      <c r="E358" s="8">
        <v>0.0</v>
      </c>
      <c r="F358" s="8">
        <v>5.0</v>
      </c>
      <c r="G358" s="7">
        <f t="shared" si="1"/>
        <v>31.2</v>
      </c>
      <c r="H358" s="7" t="s">
        <v>14</v>
      </c>
      <c r="I358" s="7" t="s">
        <v>14</v>
      </c>
      <c r="J358" s="8">
        <v>1.0</v>
      </c>
      <c r="K358" s="7" t="s">
        <v>14</v>
      </c>
      <c r="L358" s="8">
        <v>0.0</v>
      </c>
      <c r="Q358" s="9"/>
      <c r="R358" s="11"/>
    </row>
    <row r="359">
      <c r="A359" s="7" t="s">
        <v>369</v>
      </c>
      <c r="B359" s="7" t="s">
        <v>14</v>
      </c>
      <c r="C359" s="7">
        <v>0.0</v>
      </c>
      <c r="D359" s="8">
        <v>15.0</v>
      </c>
      <c r="E359" s="8">
        <v>2.2</v>
      </c>
      <c r="F359" s="8">
        <v>0.0</v>
      </c>
      <c r="G359" s="7">
        <f t="shared" si="1"/>
        <v>17.2</v>
      </c>
      <c r="H359" s="7" t="s">
        <v>14</v>
      </c>
      <c r="I359" s="7" t="s">
        <v>14</v>
      </c>
      <c r="J359" s="8">
        <v>0.0</v>
      </c>
      <c r="K359" s="7" t="s">
        <v>14</v>
      </c>
      <c r="L359" s="8">
        <v>1.0</v>
      </c>
      <c r="Q359" s="9"/>
      <c r="R359" s="11"/>
    </row>
    <row r="360">
      <c r="A360" s="7" t="s">
        <v>370</v>
      </c>
      <c r="B360" s="7" t="s">
        <v>14</v>
      </c>
      <c r="C360" s="7">
        <v>0.0</v>
      </c>
      <c r="D360" s="8">
        <v>15.0</v>
      </c>
      <c r="E360" s="8">
        <v>4.5</v>
      </c>
      <c r="F360" s="8">
        <v>0.0</v>
      </c>
      <c r="G360" s="7">
        <f t="shared" si="1"/>
        <v>19.5</v>
      </c>
      <c r="H360" s="7" t="s">
        <v>14</v>
      </c>
      <c r="I360" s="7" t="s">
        <v>14</v>
      </c>
      <c r="J360" s="8">
        <v>1.0</v>
      </c>
      <c r="K360" s="7" t="s">
        <v>14</v>
      </c>
      <c r="L360" s="8">
        <v>1.0</v>
      </c>
      <c r="Q360" s="9"/>
    </row>
    <row r="361">
      <c r="A361" s="7" t="s">
        <v>371</v>
      </c>
      <c r="B361" s="7" t="s">
        <v>14</v>
      </c>
      <c r="C361" s="7">
        <v>5.4</v>
      </c>
      <c r="D361" s="8">
        <v>0.0</v>
      </c>
      <c r="E361" s="8">
        <v>3.0</v>
      </c>
      <c r="F361" s="8">
        <v>0.0</v>
      </c>
      <c r="G361" s="7">
        <f t="shared" si="1"/>
        <v>8.4</v>
      </c>
      <c r="H361" s="7" t="s">
        <v>14</v>
      </c>
      <c r="I361" s="7" t="s">
        <v>14</v>
      </c>
      <c r="J361" s="8">
        <v>1.0</v>
      </c>
      <c r="K361" s="7" t="s">
        <v>14</v>
      </c>
      <c r="L361" s="8">
        <v>0.0</v>
      </c>
      <c r="Q361" s="9"/>
    </row>
    <row r="362">
      <c r="A362" s="7" t="s">
        <v>372</v>
      </c>
      <c r="B362" s="7" t="s">
        <v>14</v>
      </c>
      <c r="C362" s="7">
        <v>0.0</v>
      </c>
      <c r="D362" s="8">
        <v>15.0</v>
      </c>
      <c r="E362" s="7">
        <v>5.6</v>
      </c>
      <c r="F362" s="8">
        <v>5.0</v>
      </c>
      <c r="G362" s="7">
        <f t="shared" si="1"/>
        <v>25.6</v>
      </c>
      <c r="H362" s="7" t="s">
        <v>14</v>
      </c>
      <c r="I362" s="7" t="s">
        <v>14</v>
      </c>
      <c r="J362" s="8">
        <v>1.0</v>
      </c>
      <c r="K362" s="7" t="s">
        <v>14</v>
      </c>
      <c r="L362" s="8">
        <v>0.0</v>
      </c>
      <c r="Q362" s="9"/>
    </row>
    <row r="363">
      <c r="A363" s="7" t="s">
        <v>373</v>
      </c>
      <c r="B363" s="7" t="s">
        <v>14</v>
      </c>
      <c r="C363" s="8">
        <v>12.0</v>
      </c>
      <c r="D363" s="8">
        <v>15.0</v>
      </c>
      <c r="E363" s="8">
        <v>4.5</v>
      </c>
      <c r="F363" s="8">
        <v>5.0</v>
      </c>
      <c r="G363" s="7">
        <f t="shared" si="1"/>
        <v>36.5</v>
      </c>
      <c r="H363" s="7" t="s">
        <v>14</v>
      </c>
      <c r="I363" s="7" t="s">
        <v>14</v>
      </c>
      <c r="J363" s="8">
        <v>1.0</v>
      </c>
      <c r="K363" s="7" t="s">
        <v>14</v>
      </c>
      <c r="L363" s="8">
        <v>0.0</v>
      </c>
      <c r="Q363" s="9"/>
    </row>
    <row r="364">
      <c r="A364" s="7" t="s">
        <v>374</v>
      </c>
      <c r="B364" s="7" t="s">
        <v>14</v>
      </c>
      <c r="C364" s="7">
        <v>11.4</v>
      </c>
      <c r="D364" s="8">
        <v>0.0</v>
      </c>
      <c r="E364" s="8">
        <v>9.0</v>
      </c>
      <c r="F364" s="8">
        <v>5.0</v>
      </c>
      <c r="G364" s="7">
        <f t="shared" si="1"/>
        <v>25.4</v>
      </c>
      <c r="H364" s="7" t="s">
        <v>14</v>
      </c>
      <c r="I364" s="7" t="s">
        <v>14</v>
      </c>
      <c r="J364" s="8">
        <v>1.0</v>
      </c>
      <c r="K364" s="7" t="s">
        <v>14</v>
      </c>
      <c r="L364" s="8">
        <v>1.0</v>
      </c>
      <c r="Q364" s="9"/>
    </row>
    <row r="365">
      <c r="A365" s="7" t="s">
        <v>375</v>
      </c>
      <c r="B365" s="7" t="s">
        <v>14</v>
      </c>
      <c r="C365" s="7">
        <v>10.7</v>
      </c>
      <c r="D365" s="8">
        <v>0.0</v>
      </c>
      <c r="E365" s="8">
        <v>7.5</v>
      </c>
      <c r="F365" s="8">
        <v>5.0</v>
      </c>
      <c r="G365" s="7">
        <f t="shared" si="1"/>
        <v>23.2</v>
      </c>
      <c r="H365" s="7" t="s">
        <v>14</v>
      </c>
      <c r="I365" s="7" t="s">
        <v>14</v>
      </c>
      <c r="J365" s="8">
        <v>0.0</v>
      </c>
      <c r="K365" s="7" t="s">
        <v>14</v>
      </c>
      <c r="L365" s="8">
        <v>1.0</v>
      </c>
      <c r="Q365" s="9"/>
    </row>
    <row r="366">
      <c r="A366" s="7" t="s">
        <v>376</v>
      </c>
      <c r="B366" s="7" t="s">
        <v>14</v>
      </c>
      <c r="C366" s="7">
        <v>0.0</v>
      </c>
      <c r="D366" s="8">
        <v>0.0</v>
      </c>
      <c r="E366" s="8">
        <v>3.0</v>
      </c>
      <c r="F366" s="8">
        <v>5.0</v>
      </c>
      <c r="G366" s="7">
        <f t="shared" si="1"/>
        <v>8</v>
      </c>
      <c r="H366" s="7" t="s">
        <v>14</v>
      </c>
      <c r="I366" s="7" t="s">
        <v>14</v>
      </c>
      <c r="J366" s="8">
        <v>1.0</v>
      </c>
      <c r="K366" s="7" t="s">
        <v>14</v>
      </c>
      <c r="L366" s="8">
        <v>0.0</v>
      </c>
      <c r="Q366" s="9"/>
    </row>
    <row r="367">
      <c r="A367" s="7" t="s">
        <v>377</v>
      </c>
      <c r="B367" s="7" t="s">
        <v>14</v>
      </c>
      <c r="C367" s="8">
        <v>10.0</v>
      </c>
      <c r="D367" s="8">
        <v>15.0</v>
      </c>
      <c r="E367" s="8">
        <v>5.3</v>
      </c>
      <c r="F367" s="8">
        <v>5.0</v>
      </c>
      <c r="G367" s="7">
        <f t="shared" si="1"/>
        <v>35.3</v>
      </c>
      <c r="H367" s="7" t="s">
        <v>14</v>
      </c>
      <c r="I367" s="7" t="s">
        <v>14</v>
      </c>
      <c r="J367" s="8">
        <v>1.0</v>
      </c>
      <c r="K367" s="7" t="s">
        <v>14</v>
      </c>
      <c r="L367" s="8">
        <v>0.0</v>
      </c>
      <c r="Q367" s="9"/>
    </row>
    <row r="368">
      <c r="A368" s="7" t="s">
        <v>378</v>
      </c>
      <c r="B368" s="7" t="s">
        <v>14</v>
      </c>
      <c r="C368" s="7">
        <v>0.0</v>
      </c>
      <c r="D368" s="8">
        <v>15.0</v>
      </c>
      <c r="E368" s="8">
        <v>0.0</v>
      </c>
      <c r="F368" s="8">
        <v>0.0</v>
      </c>
      <c r="G368" s="7">
        <f t="shared" si="1"/>
        <v>15</v>
      </c>
      <c r="H368" s="7" t="s">
        <v>14</v>
      </c>
      <c r="I368" s="7" t="s">
        <v>14</v>
      </c>
      <c r="J368" s="8">
        <v>1.0</v>
      </c>
      <c r="K368" s="7" t="s">
        <v>14</v>
      </c>
      <c r="L368" s="8">
        <v>0.0</v>
      </c>
      <c r="Q368" s="11"/>
    </row>
    <row r="369">
      <c r="A369" s="7" t="s">
        <v>379</v>
      </c>
      <c r="B369" s="7" t="s">
        <v>14</v>
      </c>
      <c r="C369" s="7">
        <v>0.0</v>
      </c>
      <c r="D369" s="8">
        <v>0.0</v>
      </c>
      <c r="E369" s="8">
        <v>6.0</v>
      </c>
      <c r="F369" s="8">
        <v>5.0</v>
      </c>
      <c r="G369" s="7">
        <f t="shared" si="1"/>
        <v>11</v>
      </c>
      <c r="H369" s="7" t="s">
        <v>14</v>
      </c>
      <c r="I369" s="7" t="s">
        <v>14</v>
      </c>
      <c r="J369" s="8">
        <v>3.0</v>
      </c>
      <c r="K369" s="7" t="s">
        <v>14</v>
      </c>
      <c r="L369" s="8">
        <v>3.0</v>
      </c>
      <c r="Q369" s="11"/>
    </row>
    <row r="370">
      <c r="A370" s="7" t="s">
        <v>380</v>
      </c>
      <c r="B370" s="7" t="s">
        <v>14</v>
      </c>
      <c r="C370" s="7">
        <v>0.0</v>
      </c>
      <c r="D370" s="8">
        <v>0.0</v>
      </c>
      <c r="E370" s="7">
        <v>3.0</v>
      </c>
      <c r="F370" s="8">
        <v>5.0</v>
      </c>
      <c r="G370" s="7">
        <f t="shared" si="1"/>
        <v>8</v>
      </c>
      <c r="H370" s="7" t="s">
        <v>14</v>
      </c>
      <c r="I370" s="7" t="s">
        <v>14</v>
      </c>
      <c r="J370" s="8">
        <v>0.0</v>
      </c>
      <c r="K370" s="7" t="s">
        <v>14</v>
      </c>
      <c r="L370" s="8">
        <v>1.0</v>
      </c>
      <c r="Q370" s="11"/>
    </row>
    <row r="371">
      <c r="A371" s="7" t="s">
        <v>381</v>
      </c>
      <c r="B371" s="7" t="s">
        <v>14</v>
      </c>
      <c r="C371" s="7">
        <v>8.0</v>
      </c>
      <c r="D371" s="8">
        <v>15.0</v>
      </c>
      <c r="E371" s="7">
        <v>4.5</v>
      </c>
      <c r="F371" s="8">
        <v>0.0</v>
      </c>
      <c r="G371" s="7">
        <f t="shared" si="1"/>
        <v>27.5</v>
      </c>
      <c r="H371" s="7" t="s">
        <v>14</v>
      </c>
      <c r="I371" s="7" t="s">
        <v>14</v>
      </c>
      <c r="J371" s="8">
        <v>1.0</v>
      </c>
      <c r="K371" s="7" t="s">
        <v>14</v>
      </c>
      <c r="L371" s="8">
        <v>1.0</v>
      </c>
      <c r="Q371" s="11"/>
    </row>
    <row r="372">
      <c r="A372" s="7" t="s">
        <v>382</v>
      </c>
      <c r="B372" s="7" t="s">
        <v>14</v>
      </c>
      <c r="C372" s="7">
        <v>11.2</v>
      </c>
      <c r="D372" s="8">
        <v>15.0</v>
      </c>
      <c r="E372" s="8">
        <v>6.7</v>
      </c>
      <c r="F372" s="8">
        <v>0.0</v>
      </c>
      <c r="G372" s="7">
        <f t="shared" si="1"/>
        <v>32.9</v>
      </c>
      <c r="H372" s="7" t="s">
        <v>14</v>
      </c>
      <c r="I372" s="7" t="s">
        <v>14</v>
      </c>
      <c r="J372" s="8">
        <v>1.0</v>
      </c>
      <c r="K372" s="7" t="s">
        <v>14</v>
      </c>
      <c r="L372" s="8">
        <v>0.0</v>
      </c>
      <c r="Q372" s="11"/>
    </row>
    <row r="373">
      <c r="A373" s="7" t="s">
        <v>383</v>
      </c>
      <c r="B373" s="7" t="s">
        <v>14</v>
      </c>
      <c r="C373" s="7">
        <v>5.7</v>
      </c>
      <c r="D373" s="8">
        <v>15.0</v>
      </c>
      <c r="E373" s="8">
        <v>5.3</v>
      </c>
      <c r="F373" s="8">
        <v>0.0</v>
      </c>
      <c r="G373" s="7">
        <f t="shared" si="1"/>
        <v>26</v>
      </c>
      <c r="H373" s="7" t="s">
        <v>14</v>
      </c>
      <c r="I373" s="7" t="s">
        <v>14</v>
      </c>
      <c r="J373" s="8">
        <v>1.0</v>
      </c>
      <c r="K373" s="7" t="s">
        <v>14</v>
      </c>
      <c r="L373" s="8">
        <v>0.0</v>
      </c>
      <c r="Q373" s="11"/>
    </row>
    <row r="374">
      <c r="A374" s="7" t="s">
        <v>384</v>
      </c>
      <c r="B374" s="7" t="s">
        <v>14</v>
      </c>
      <c r="C374" s="7">
        <v>17.6</v>
      </c>
      <c r="D374" s="8">
        <v>15.0</v>
      </c>
      <c r="E374" s="8">
        <v>0.8</v>
      </c>
      <c r="F374" s="8">
        <v>5.0</v>
      </c>
      <c r="G374" s="7">
        <f t="shared" si="1"/>
        <v>38.4</v>
      </c>
      <c r="H374" s="7" t="s">
        <v>14</v>
      </c>
      <c r="I374" s="7" t="s">
        <v>14</v>
      </c>
      <c r="J374" s="8">
        <v>1.0</v>
      </c>
      <c r="K374" s="7" t="s">
        <v>14</v>
      </c>
      <c r="L374" s="8">
        <v>1.0</v>
      </c>
      <c r="Q374" s="11"/>
    </row>
    <row r="375">
      <c r="A375" s="7" t="s">
        <v>385</v>
      </c>
      <c r="B375" s="7" t="s">
        <v>14</v>
      </c>
      <c r="C375" s="7">
        <v>0.0</v>
      </c>
      <c r="D375" s="8">
        <v>15.0</v>
      </c>
      <c r="E375" s="8">
        <v>0.0</v>
      </c>
      <c r="F375" s="8">
        <v>0.0</v>
      </c>
      <c r="G375" s="7">
        <f t="shared" si="1"/>
        <v>15</v>
      </c>
      <c r="H375" s="7" t="s">
        <v>14</v>
      </c>
      <c r="I375" s="7" t="s">
        <v>14</v>
      </c>
      <c r="J375" s="8">
        <v>0.0</v>
      </c>
      <c r="K375" s="7" t="s">
        <v>14</v>
      </c>
      <c r="L375" s="8">
        <v>1.0</v>
      </c>
      <c r="Q375" s="11"/>
    </row>
    <row r="376">
      <c r="A376" s="7" t="s">
        <v>386</v>
      </c>
      <c r="B376" s="7" t="s">
        <v>14</v>
      </c>
      <c r="C376" s="7">
        <v>15.0</v>
      </c>
      <c r="D376" s="8">
        <v>0.0</v>
      </c>
      <c r="E376" s="8">
        <v>6.7</v>
      </c>
      <c r="F376" s="8">
        <v>5.0</v>
      </c>
      <c r="G376" s="7">
        <f t="shared" si="1"/>
        <v>26.7</v>
      </c>
      <c r="H376" s="7" t="s">
        <v>14</v>
      </c>
      <c r="I376" s="7" t="s">
        <v>14</v>
      </c>
      <c r="J376" s="8">
        <v>1.0</v>
      </c>
      <c r="K376" s="7" t="s">
        <v>14</v>
      </c>
      <c r="L376" s="8">
        <v>0.0</v>
      </c>
      <c r="Q376" s="11"/>
    </row>
    <row r="377">
      <c r="A377" s="7" t="s">
        <v>387</v>
      </c>
      <c r="B377" s="7" t="s">
        <v>14</v>
      </c>
      <c r="C377" s="7">
        <v>0.0</v>
      </c>
      <c r="D377" s="8">
        <v>0.0</v>
      </c>
      <c r="E377" s="7">
        <v>3.0</v>
      </c>
      <c r="F377" s="8">
        <v>0.0</v>
      </c>
      <c r="G377" s="7">
        <f t="shared" si="1"/>
        <v>3</v>
      </c>
      <c r="H377" s="7" t="s">
        <v>14</v>
      </c>
      <c r="I377" s="7" t="s">
        <v>14</v>
      </c>
      <c r="J377" s="8">
        <v>1.0</v>
      </c>
      <c r="K377" s="7" t="s">
        <v>14</v>
      </c>
      <c r="L377" s="8">
        <v>1.0</v>
      </c>
      <c r="Q377" s="11"/>
    </row>
    <row r="378">
      <c r="A378" s="7" t="s">
        <v>388</v>
      </c>
      <c r="B378" s="7" t="s">
        <v>14</v>
      </c>
      <c r="C378" s="7">
        <v>15.0</v>
      </c>
      <c r="D378" s="8">
        <v>0.0</v>
      </c>
      <c r="E378" s="8">
        <v>5.3</v>
      </c>
      <c r="F378" s="8">
        <v>5.0</v>
      </c>
      <c r="G378" s="7">
        <f t="shared" si="1"/>
        <v>25.3</v>
      </c>
      <c r="H378" s="7" t="s">
        <v>14</v>
      </c>
      <c r="I378" s="7" t="s">
        <v>14</v>
      </c>
      <c r="J378" s="8">
        <v>2.0</v>
      </c>
      <c r="K378" s="7" t="s">
        <v>14</v>
      </c>
      <c r="L378" s="8">
        <v>0.0</v>
      </c>
      <c r="Q378" s="11"/>
    </row>
    <row r="379">
      <c r="A379" s="7" t="s">
        <v>389</v>
      </c>
      <c r="B379" s="7" t="s">
        <v>14</v>
      </c>
      <c r="C379" s="7">
        <v>0.0</v>
      </c>
      <c r="D379" s="8">
        <v>15.0</v>
      </c>
      <c r="E379" s="8">
        <v>8.2</v>
      </c>
      <c r="F379" s="8">
        <v>5.0</v>
      </c>
      <c r="G379" s="7">
        <f t="shared" si="1"/>
        <v>28.2</v>
      </c>
      <c r="H379" s="7" t="s">
        <v>14</v>
      </c>
      <c r="I379" s="7" t="s">
        <v>14</v>
      </c>
      <c r="J379" s="8">
        <v>1.0</v>
      </c>
      <c r="K379" s="7" t="s">
        <v>14</v>
      </c>
      <c r="L379" s="8">
        <v>0.0</v>
      </c>
      <c r="Q379" s="11"/>
    </row>
    <row r="380">
      <c r="A380" s="7" t="s">
        <v>390</v>
      </c>
      <c r="B380" s="7" t="s">
        <v>14</v>
      </c>
      <c r="C380" s="8">
        <v>10.8</v>
      </c>
      <c r="D380" s="8">
        <v>0.0</v>
      </c>
      <c r="E380" s="8">
        <v>4.5</v>
      </c>
      <c r="F380" s="8">
        <v>0.0</v>
      </c>
      <c r="G380" s="7">
        <f t="shared" si="1"/>
        <v>15.3</v>
      </c>
      <c r="H380" s="7" t="s">
        <v>14</v>
      </c>
      <c r="I380" s="7" t="s">
        <v>14</v>
      </c>
      <c r="J380" s="8">
        <v>1.0</v>
      </c>
      <c r="K380" s="7" t="s">
        <v>14</v>
      </c>
      <c r="L380" s="8">
        <v>0.0</v>
      </c>
      <c r="Q380" s="11"/>
    </row>
    <row r="381">
      <c r="A381" s="7" t="s">
        <v>391</v>
      </c>
      <c r="B381" s="7" t="s">
        <v>14</v>
      </c>
      <c r="C381" s="8">
        <v>15.3</v>
      </c>
      <c r="D381" s="8">
        <v>15.0</v>
      </c>
      <c r="E381" s="8">
        <v>6.7</v>
      </c>
      <c r="F381" s="8">
        <v>5.0</v>
      </c>
      <c r="G381" s="7">
        <f t="shared" si="1"/>
        <v>42</v>
      </c>
      <c r="H381" s="7" t="s">
        <v>14</v>
      </c>
      <c r="I381" s="7" t="s">
        <v>14</v>
      </c>
      <c r="J381" s="8">
        <v>2.0</v>
      </c>
      <c r="K381" s="7" t="s">
        <v>14</v>
      </c>
      <c r="L381" s="8">
        <v>2.0</v>
      </c>
      <c r="Q381" s="11"/>
    </row>
    <row r="382">
      <c r="A382" s="7" t="s">
        <v>392</v>
      </c>
      <c r="B382" s="7" t="s">
        <v>14</v>
      </c>
      <c r="C382" s="7">
        <v>0.0</v>
      </c>
      <c r="D382" s="8">
        <v>15.0</v>
      </c>
      <c r="E382" s="8">
        <v>6.7</v>
      </c>
      <c r="F382" s="8">
        <v>5.0</v>
      </c>
      <c r="G382" s="7">
        <f t="shared" si="1"/>
        <v>26.7</v>
      </c>
      <c r="H382" s="7" t="s">
        <v>14</v>
      </c>
      <c r="I382" s="7" t="s">
        <v>14</v>
      </c>
      <c r="J382" s="8">
        <v>1.0</v>
      </c>
      <c r="K382" s="7" t="s">
        <v>14</v>
      </c>
      <c r="L382" s="8">
        <v>1.0</v>
      </c>
      <c r="Q382" s="11"/>
    </row>
    <row r="383">
      <c r="A383" s="7" t="s">
        <v>393</v>
      </c>
      <c r="B383" s="7" t="s">
        <v>14</v>
      </c>
      <c r="C383" s="8">
        <v>10.2</v>
      </c>
      <c r="D383" s="8">
        <v>15.0</v>
      </c>
      <c r="E383" s="8">
        <v>6.0</v>
      </c>
      <c r="F383" s="8">
        <v>5.0</v>
      </c>
      <c r="G383" s="7">
        <f t="shared" si="1"/>
        <v>36.2</v>
      </c>
      <c r="H383" s="7" t="s">
        <v>14</v>
      </c>
      <c r="I383" s="7" t="s">
        <v>14</v>
      </c>
      <c r="J383" s="8">
        <v>1.0</v>
      </c>
      <c r="K383" s="7" t="s">
        <v>14</v>
      </c>
      <c r="L383" s="8">
        <v>0.0</v>
      </c>
      <c r="Q383" s="9"/>
      <c r="R383" s="11"/>
    </row>
    <row r="384">
      <c r="A384" s="7" t="s">
        <v>394</v>
      </c>
      <c r="B384" s="7" t="s">
        <v>14</v>
      </c>
      <c r="C384" s="8">
        <v>16.4</v>
      </c>
      <c r="D384" s="8">
        <v>15.0</v>
      </c>
      <c r="E384" s="8">
        <v>6.0</v>
      </c>
      <c r="F384" s="8">
        <v>5.0</v>
      </c>
      <c r="G384" s="7">
        <f t="shared" si="1"/>
        <v>42.4</v>
      </c>
      <c r="H384" s="7" t="s">
        <v>14</v>
      </c>
      <c r="I384" s="7" t="s">
        <v>14</v>
      </c>
      <c r="J384" s="8">
        <v>0.0</v>
      </c>
      <c r="K384" s="7" t="s">
        <v>14</v>
      </c>
      <c r="L384" s="8">
        <v>1.0</v>
      </c>
      <c r="O384" s="23"/>
      <c r="P384" s="23"/>
      <c r="Q384" s="9"/>
      <c r="R384" s="11"/>
    </row>
    <row r="385">
      <c r="A385" s="7" t="s">
        <v>395</v>
      </c>
      <c r="B385" s="7" t="s">
        <v>14</v>
      </c>
      <c r="C385" s="7">
        <v>0.0</v>
      </c>
      <c r="D385" s="8">
        <v>0.0</v>
      </c>
      <c r="E385" s="8">
        <v>8.2</v>
      </c>
      <c r="F385" s="8">
        <v>0.0</v>
      </c>
      <c r="G385" s="7">
        <f t="shared" si="1"/>
        <v>8.2</v>
      </c>
      <c r="H385" s="7" t="s">
        <v>14</v>
      </c>
      <c r="I385" s="7" t="s">
        <v>14</v>
      </c>
      <c r="J385" s="8">
        <v>1.0</v>
      </c>
      <c r="K385" s="7" t="s">
        <v>14</v>
      </c>
      <c r="L385" s="8">
        <v>0.0</v>
      </c>
      <c r="Q385" s="9"/>
    </row>
    <row r="386">
      <c r="A386" s="7" t="s">
        <v>396</v>
      </c>
      <c r="B386" s="7" t="s">
        <v>14</v>
      </c>
      <c r="C386" s="7">
        <v>5.4</v>
      </c>
      <c r="D386" s="8">
        <v>15.0</v>
      </c>
      <c r="E386" s="8">
        <v>10.5</v>
      </c>
      <c r="F386" s="8">
        <v>5.0</v>
      </c>
      <c r="G386" s="7">
        <f t="shared" si="1"/>
        <v>35.9</v>
      </c>
      <c r="H386" s="7" t="s">
        <v>14</v>
      </c>
      <c r="I386" s="7" t="s">
        <v>14</v>
      </c>
      <c r="J386" s="8">
        <v>0.0</v>
      </c>
      <c r="K386" s="7" t="s">
        <v>14</v>
      </c>
      <c r="L386" s="8">
        <v>1.0</v>
      </c>
      <c r="Q386" s="9"/>
      <c r="R386" s="11"/>
    </row>
    <row r="387">
      <c r="A387" s="7" t="s">
        <v>397</v>
      </c>
      <c r="B387" s="7" t="s">
        <v>14</v>
      </c>
      <c r="C387" s="7">
        <v>0.0</v>
      </c>
      <c r="D387" s="8">
        <v>15.0</v>
      </c>
      <c r="E387" s="7">
        <v>6.8</v>
      </c>
      <c r="F387" s="8">
        <v>5.0</v>
      </c>
      <c r="G387" s="7">
        <f t="shared" si="1"/>
        <v>26.8</v>
      </c>
      <c r="H387" s="7" t="s">
        <v>14</v>
      </c>
      <c r="I387" s="7" t="s">
        <v>14</v>
      </c>
      <c r="J387" s="8">
        <v>1.0</v>
      </c>
      <c r="K387" s="7" t="s">
        <v>14</v>
      </c>
      <c r="L387" s="8">
        <v>0.0</v>
      </c>
      <c r="Q387" s="9"/>
      <c r="R387" s="11"/>
    </row>
    <row r="388">
      <c r="A388" s="7" t="s">
        <v>398</v>
      </c>
      <c r="B388" s="7" t="s">
        <v>14</v>
      </c>
      <c r="C388" s="8">
        <v>6.2</v>
      </c>
      <c r="D388" s="8">
        <v>0.0</v>
      </c>
      <c r="E388" s="8">
        <v>6.0</v>
      </c>
      <c r="F388" s="8">
        <v>0.0</v>
      </c>
      <c r="G388" s="7">
        <f t="shared" si="1"/>
        <v>12.2</v>
      </c>
      <c r="H388" s="7" t="s">
        <v>14</v>
      </c>
      <c r="I388" s="7" t="s">
        <v>14</v>
      </c>
      <c r="J388" s="8">
        <v>0.0</v>
      </c>
      <c r="K388" s="7" t="s">
        <v>14</v>
      </c>
      <c r="L388" s="8">
        <v>1.0</v>
      </c>
      <c r="Q388" s="9"/>
      <c r="R388" s="11"/>
    </row>
    <row r="389">
      <c r="A389" s="7" t="s">
        <v>399</v>
      </c>
      <c r="B389" s="7" t="s">
        <v>14</v>
      </c>
      <c r="C389" s="7">
        <v>0.0</v>
      </c>
      <c r="D389" s="8">
        <v>15.0</v>
      </c>
      <c r="E389" s="7">
        <v>6.8</v>
      </c>
      <c r="F389" s="8">
        <v>0.0</v>
      </c>
      <c r="G389" s="7">
        <f t="shared" si="1"/>
        <v>21.8</v>
      </c>
      <c r="H389" s="7" t="s">
        <v>14</v>
      </c>
      <c r="I389" s="7" t="s">
        <v>14</v>
      </c>
      <c r="J389" s="8">
        <v>1.0</v>
      </c>
      <c r="K389" s="7" t="s">
        <v>14</v>
      </c>
      <c r="L389" s="8">
        <v>0.0</v>
      </c>
      <c r="Q389" s="9"/>
      <c r="R389" s="11"/>
    </row>
    <row r="390">
      <c r="A390" s="7" t="s">
        <v>400</v>
      </c>
      <c r="B390" s="7" t="s">
        <v>14</v>
      </c>
      <c r="C390" s="7">
        <v>0.0</v>
      </c>
      <c r="D390" s="8">
        <v>15.0</v>
      </c>
      <c r="E390" s="8">
        <v>7.5</v>
      </c>
      <c r="F390" s="8">
        <v>0.0</v>
      </c>
      <c r="G390" s="7">
        <f t="shared" si="1"/>
        <v>22.5</v>
      </c>
      <c r="H390" s="7" t="s">
        <v>14</v>
      </c>
      <c r="I390" s="7" t="s">
        <v>14</v>
      </c>
      <c r="J390" s="8">
        <v>1.0</v>
      </c>
      <c r="K390" s="7" t="s">
        <v>14</v>
      </c>
      <c r="L390" s="8">
        <v>1.0</v>
      </c>
      <c r="Q390" s="9"/>
    </row>
    <row r="391">
      <c r="A391" s="7" t="s">
        <v>401</v>
      </c>
      <c r="B391" s="7" t="s">
        <v>14</v>
      </c>
      <c r="C391" s="7">
        <v>0.0</v>
      </c>
      <c r="D391" s="8">
        <v>0.0</v>
      </c>
      <c r="E391" s="8">
        <v>8.2</v>
      </c>
      <c r="F391" s="8">
        <v>0.0</v>
      </c>
      <c r="G391" s="7">
        <f t="shared" si="1"/>
        <v>8.2</v>
      </c>
      <c r="H391" s="7" t="s">
        <v>14</v>
      </c>
      <c r="I391" s="7" t="s">
        <v>14</v>
      </c>
      <c r="J391" s="8">
        <v>1.0</v>
      </c>
      <c r="K391" s="7" t="s">
        <v>14</v>
      </c>
      <c r="L391" s="8">
        <v>0.0</v>
      </c>
      <c r="Q391" s="9"/>
    </row>
    <row r="392">
      <c r="A392" s="7" t="s">
        <v>402</v>
      </c>
      <c r="B392" s="7" t="s">
        <v>14</v>
      </c>
      <c r="C392" s="7">
        <v>0.0</v>
      </c>
      <c r="D392" s="8">
        <v>0.0</v>
      </c>
      <c r="E392" s="8">
        <v>10.5</v>
      </c>
      <c r="F392" s="8">
        <v>0.0</v>
      </c>
      <c r="G392" s="7">
        <f t="shared" si="1"/>
        <v>10.5</v>
      </c>
      <c r="H392" s="7" t="s">
        <v>14</v>
      </c>
      <c r="I392" s="7" t="s">
        <v>14</v>
      </c>
      <c r="J392" s="8">
        <v>1.0</v>
      </c>
      <c r="K392" s="7" t="s">
        <v>14</v>
      </c>
      <c r="L392" s="8">
        <v>0.0</v>
      </c>
      <c r="Q392" s="9"/>
    </row>
    <row r="393">
      <c r="A393" s="7" t="s">
        <v>403</v>
      </c>
      <c r="B393" s="7" t="s">
        <v>14</v>
      </c>
      <c r="C393" s="7">
        <v>5.8</v>
      </c>
      <c r="D393" s="8">
        <v>15.0</v>
      </c>
      <c r="E393" s="8">
        <v>0.0</v>
      </c>
      <c r="F393" s="8">
        <v>0.0</v>
      </c>
      <c r="G393" s="7">
        <f t="shared" si="1"/>
        <v>20.8</v>
      </c>
      <c r="H393" s="7" t="s">
        <v>14</v>
      </c>
      <c r="I393" s="7" t="s">
        <v>14</v>
      </c>
      <c r="J393" s="8">
        <v>0.0</v>
      </c>
      <c r="K393" s="7" t="s">
        <v>14</v>
      </c>
      <c r="L393" s="8">
        <v>1.0</v>
      </c>
      <c r="Q393" s="9"/>
      <c r="R393" s="11"/>
    </row>
    <row r="394">
      <c r="A394" s="7" t="s">
        <v>404</v>
      </c>
      <c r="B394" s="7" t="s">
        <v>14</v>
      </c>
      <c r="C394" s="7">
        <v>0.0</v>
      </c>
      <c r="D394" s="8">
        <v>0.0</v>
      </c>
      <c r="E394" s="8">
        <v>6.0</v>
      </c>
      <c r="F394" s="8">
        <v>5.0</v>
      </c>
      <c r="G394" s="7">
        <f t="shared" si="1"/>
        <v>11</v>
      </c>
      <c r="H394" s="7" t="s">
        <v>14</v>
      </c>
      <c r="I394" s="7" t="s">
        <v>14</v>
      </c>
      <c r="J394" s="8">
        <v>1.0</v>
      </c>
      <c r="K394" s="7" t="s">
        <v>14</v>
      </c>
      <c r="L394" s="8">
        <v>1.0</v>
      </c>
      <c r="Q394" s="9"/>
      <c r="R394" s="11"/>
    </row>
    <row r="395">
      <c r="A395" s="7" t="s">
        <v>405</v>
      </c>
      <c r="B395" s="7" t="s">
        <v>14</v>
      </c>
      <c r="C395" s="7">
        <v>10.7</v>
      </c>
      <c r="D395" s="8">
        <v>0.0</v>
      </c>
      <c r="E395" s="8">
        <v>6.7</v>
      </c>
      <c r="F395" s="8">
        <v>0.0</v>
      </c>
      <c r="G395" s="7">
        <f t="shared" si="1"/>
        <v>17.4</v>
      </c>
      <c r="H395" s="7" t="s">
        <v>14</v>
      </c>
      <c r="I395" s="7" t="s">
        <v>14</v>
      </c>
      <c r="J395" s="8">
        <v>1.0</v>
      </c>
      <c r="K395" s="7" t="s">
        <v>14</v>
      </c>
      <c r="L395" s="8">
        <v>0.0</v>
      </c>
      <c r="Q395" s="9"/>
      <c r="R395" s="11"/>
    </row>
    <row r="396">
      <c r="A396" s="7" t="s">
        <v>406</v>
      </c>
      <c r="B396" s="7" t="s">
        <v>14</v>
      </c>
      <c r="C396" s="7">
        <v>12.9</v>
      </c>
      <c r="D396" s="8">
        <v>15.0</v>
      </c>
      <c r="E396" s="8">
        <v>3.8</v>
      </c>
      <c r="F396" s="8">
        <v>5.0</v>
      </c>
      <c r="G396" s="7">
        <f t="shared" si="1"/>
        <v>36.7</v>
      </c>
      <c r="H396" s="7" t="s">
        <v>14</v>
      </c>
      <c r="I396" s="7" t="s">
        <v>14</v>
      </c>
      <c r="J396" s="8">
        <v>0.0</v>
      </c>
      <c r="K396" s="7" t="s">
        <v>14</v>
      </c>
      <c r="L396" s="8">
        <v>1.0</v>
      </c>
      <c r="Q396" s="9"/>
      <c r="R396" s="11"/>
    </row>
    <row r="397">
      <c r="A397" s="7" t="s">
        <v>407</v>
      </c>
      <c r="B397" s="7" t="s">
        <v>14</v>
      </c>
      <c r="C397" s="7">
        <v>10.3</v>
      </c>
      <c r="D397" s="8">
        <v>0.0</v>
      </c>
      <c r="E397" s="8">
        <v>6.0</v>
      </c>
      <c r="F397" s="8">
        <v>5.0</v>
      </c>
      <c r="G397" s="7">
        <f t="shared" si="1"/>
        <v>21.3</v>
      </c>
      <c r="H397" s="7" t="s">
        <v>14</v>
      </c>
      <c r="I397" s="7" t="s">
        <v>14</v>
      </c>
      <c r="J397" s="8">
        <v>1.0</v>
      </c>
      <c r="K397" s="7" t="s">
        <v>14</v>
      </c>
      <c r="L397" s="8">
        <v>1.0</v>
      </c>
      <c r="Q397" s="9"/>
    </row>
    <row r="398">
      <c r="A398" s="7" t="s">
        <v>408</v>
      </c>
      <c r="B398" s="7" t="s">
        <v>14</v>
      </c>
      <c r="C398" s="7">
        <v>20.0</v>
      </c>
      <c r="D398" s="8">
        <v>15.0</v>
      </c>
      <c r="E398" s="8">
        <v>6.0</v>
      </c>
      <c r="F398" s="8">
        <v>5.0</v>
      </c>
      <c r="G398" s="7">
        <f t="shared" si="1"/>
        <v>46</v>
      </c>
      <c r="H398" s="7" t="s">
        <v>14</v>
      </c>
      <c r="I398" s="7" t="s">
        <v>14</v>
      </c>
      <c r="J398" s="8">
        <v>1.0</v>
      </c>
      <c r="K398" s="7" t="s">
        <v>14</v>
      </c>
      <c r="L398" s="8">
        <v>0.0</v>
      </c>
      <c r="Q398" s="9"/>
    </row>
    <row r="399">
      <c r="A399" s="7" t="s">
        <v>409</v>
      </c>
      <c r="B399" s="7" t="s">
        <v>14</v>
      </c>
      <c r="C399" s="8">
        <v>11.5</v>
      </c>
      <c r="D399" s="8">
        <v>15.0</v>
      </c>
      <c r="E399" s="8">
        <v>6.0</v>
      </c>
      <c r="F399" s="8">
        <v>5.0</v>
      </c>
      <c r="G399" s="7">
        <f t="shared" si="1"/>
        <v>37.5</v>
      </c>
      <c r="H399" s="7" t="s">
        <v>14</v>
      </c>
      <c r="I399" s="7" t="s">
        <v>14</v>
      </c>
      <c r="J399" s="8">
        <v>1.0</v>
      </c>
      <c r="K399" s="7" t="s">
        <v>14</v>
      </c>
      <c r="L399" s="8">
        <v>0.0</v>
      </c>
      <c r="Q399" s="9"/>
    </row>
    <row r="400">
      <c r="A400" s="7" t="s">
        <v>410</v>
      </c>
      <c r="B400" s="7" t="s">
        <v>14</v>
      </c>
      <c r="C400" s="8">
        <v>16.7</v>
      </c>
      <c r="D400" s="8">
        <v>0.0</v>
      </c>
      <c r="E400" s="8">
        <v>6.0</v>
      </c>
      <c r="F400" s="8">
        <v>30.0</v>
      </c>
      <c r="G400" s="7">
        <f t="shared" si="1"/>
        <v>52.7</v>
      </c>
      <c r="H400" s="7" t="s">
        <v>14</v>
      </c>
      <c r="I400" s="7" t="s">
        <v>14</v>
      </c>
      <c r="J400" s="8">
        <v>2.0</v>
      </c>
      <c r="K400" s="7" t="s">
        <v>14</v>
      </c>
      <c r="L400" s="8">
        <v>0.0</v>
      </c>
      <c r="Q400" s="26"/>
    </row>
    <row r="401">
      <c r="A401" s="7" t="s">
        <v>411</v>
      </c>
      <c r="B401" s="7" t="s">
        <v>14</v>
      </c>
      <c r="C401" s="8">
        <v>12.8</v>
      </c>
      <c r="D401" s="8">
        <v>15.0</v>
      </c>
      <c r="E401" s="8">
        <v>6.7</v>
      </c>
      <c r="F401" s="8">
        <v>5.0</v>
      </c>
      <c r="G401" s="7">
        <f t="shared" si="1"/>
        <v>39.5</v>
      </c>
      <c r="H401" s="7" t="s">
        <v>14</v>
      </c>
      <c r="I401" s="7" t="s">
        <v>14</v>
      </c>
      <c r="J401" s="8">
        <v>2.0</v>
      </c>
      <c r="K401" s="7" t="s">
        <v>14</v>
      </c>
      <c r="L401" s="8">
        <v>0.0</v>
      </c>
      <c r="Q401" s="26"/>
    </row>
    <row r="402">
      <c r="A402" s="7" t="s">
        <v>412</v>
      </c>
      <c r="B402" s="7" t="s">
        <v>14</v>
      </c>
      <c r="C402" s="7">
        <v>0.0</v>
      </c>
      <c r="D402" s="8">
        <v>0.0</v>
      </c>
      <c r="E402" s="7">
        <v>10.5</v>
      </c>
      <c r="F402" s="8">
        <v>0.0</v>
      </c>
      <c r="G402" s="7">
        <f t="shared" si="1"/>
        <v>10.5</v>
      </c>
      <c r="H402" s="7" t="s">
        <v>14</v>
      </c>
      <c r="I402" s="7" t="s">
        <v>14</v>
      </c>
      <c r="J402" s="8">
        <v>1.0</v>
      </c>
      <c r="K402" s="7" t="s">
        <v>14</v>
      </c>
      <c r="L402" s="8">
        <v>0.0</v>
      </c>
      <c r="Q402" s="26"/>
    </row>
    <row r="403">
      <c r="A403" s="7" t="s">
        <v>413</v>
      </c>
      <c r="B403" s="7" t="s">
        <v>14</v>
      </c>
      <c r="C403" s="8">
        <v>6.9</v>
      </c>
      <c r="D403" s="8">
        <v>15.0</v>
      </c>
      <c r="E403" s="8">
        <v>3.0</v>
      </c>
      <c r="F403" s="8">
        <v>5.0</v>
      </c>
      <c r="G403" s="7">
        <f t="shared" si="1"/>
        <v>29.9</v>
      </c>
      <c r="H403" s="7" t="s">
        <v>14</v>
      </c>
      <c r="I403" s="7" t="s">
        <v>14</v>
      </c>
      <c r="J403" s="8">
        <v>1.0</v>
      </c>
      <c r="K403" s="7" t="s">
        <v>14</v>
      </c>
      <c r="L403" s="8">
        <v>0.0</v>
      </c>
      <c r="Q403" s="26"/>
    </row>
    <row r="404">
      <c r="A404" s="7" t="s">
        <v>414</v>
      </c>
      <c r="B404" s="7" t="s">
        <v>14</v>
      </c>
      <c r="C404" s="7">
        <v>0.0</v>
      </c>
      <c r="D404" s="8">
        <v>15.0</v>
      </c>
      <c r="E404" s="7">
        <v>3.6</v>
      </c>
      <c r="F404" s="8">
        <v>0.0</v>
      </c>
      <c r="G404" s="7">
        <f t="shared" si="1"/>
        <v>18.6</v>
      </c>
      <c r="H404" s="7" t="s">
        <v>14</v>
      </c>
      <c r="I404" s="7" t="s">
        <v>14</v>
      </c>
      <c r="J404" s="8">
        <v>1.0</v>
      </c>
      <c r="K404" s="7" t="s">
        <v>14</v>
      </c>
      <c r="L404" s="8">
        <v>0.0</v>
      </c>
      <c r="Q404" s="26"/>
    </row>
    <row r="405">
      <c r="A405" s="7" t="s">
        <v>415</v>
      </c>
      <c r="B405" s="7" t="s">
        <v>14</v>
      </c>
      <c r="C405" s="7">
        <v>0.0</v>
      </c>
      <c r="D405" s="8">
        <v>15.0</v>
      </c>
      <c r="E405" s="8">
        <v>7.5</v>
      </c>
      <c r="F405" s="8">
        <v>0.0</v>
      </c>
      <c r="G405" s="7">
        <f t="shared" si="1"/>
        <v>22.5</v>
      </c>
      <c r="H405" s="7" t="s">
        <v>14</v>
      </c>
      <c r="I405" s="7" t="s">
        <v>14</v>
      </c>
      <c r="J405" s="8">
        <v>1.0</v>
      </c>
      <c r="K405" s="7" t="s">
        <v>14</v>
      </c>
      <c r="L405" s="8">
        <v>0.0</v>
      </c>
      <c r="Q405" s="11"/>
    </row>
    <row r="406">
      <c r="A406" s="7" t="s">
        <v>416</v>
      </c>
      <c r="B406" s="7" t="s">
        <v>14</v>
      </c>
      <c r="C406" s="7">
        <v>0.0</v>
      </c>
      <c r="D406" s="8">
        <v>15.0</v>
      </c>
      <c r="E406" s="7">
        <v>8.4</v>
      </c>
      <c r="F406" s="8">
        <v>0.0</v>
      </c>
      <c r="G406" s="7">
        <f t="shared" si="1"/>
        <v>23.4</v>
      </c>
      <c r="H406" s="7" t="s">
        <v>14</v>
      </c>
      <c r="I406" s="7" t="s">
        <v>14</v>
      </c>
      <c r="J406" s="8">
        <v>1.0</v>
      </c>
      <c r="K406" s="7" t="s">
        <v>14</v>
      </c>
      <c r="L406" s="8">
        <v>0.0</v>
      </c>
      <c r="Q406" s="11"/>
    </row>
    <row r="407">
      <c r="A407" s="7" t="s">
        <v>417</v>
      </c>
      <c r="B407" s="7" t="s">
        <v>14</v>
      </c>
      <c r="C407" s="7">
        <v>0.0</v>
      </c>
      <c r="D407" s="8">
        <v>15.0</v>
      </c>
      <c r="E407" s="8">
        <v>0.0</v>
      </c>
      <c r="F407" s="8">
        <v>5.0</v>
      </c>
      <c r="G407" s="7">
        <f t="shared" si="1"/>
        <v>20</v>
      </c>
      <c r="H407" s="7" t="s">
        <v>14</v>
      </c>
      <c r="I407" s="7" t="s">
        <v>14</v>
      </c>
      <c r="J407" s="8">
        <v>1.0</v>
      </c>
      <c r="K407" s="7" t="s">
        <v>14</v>
      </c>
      <c r="L407" s="8">
        <v>1.0</v>
      </c>
      <c r="Q407" s="11"/>
    </row>
    <row r="408">
      <c r="A408" s="7" t="s">
        <v>418</v>
      </c>
      <c r="B408" s="7" t="s">
        <v>14</v>
      </c>
      <c r="C408" s="8">
        <v>18.0</v>
      </c>
      <c r="D408" s="8">
        <v>15.0</v>
      </c>
      <c r="E408" s="8">
        <v>6.7</v>
      </c>
      <c r="F408" s="8">
        <v>30.0</v>
      </c>
      <c r="G408" s="7">
        <f t="shared" si="1"/>
        <v>69.7</v>
      </c>
      <c r="H408" s="7" t="s">
        <v>14</v>
      </c>
      <c r="I408" s="7" t="s">
        <v>14</v>
      </c>
      <c r="J408" s="8">
        <v>1.0</v>
      </c>
      <c r="K408" s="7" t="s">
        <v>14</v>
      </c>
      <c r="L408" s="8">
        <v>1.0</v>
      </c>
      <c r="Q408" s="11"/>
    </row>
    <row r="409">
      <c r="A409" s="7" t="s">
        <v>419</v>
      </c>
      <c r="B409" s="7" t="s">
        <v>14</v>
      </c>
      <c r="C409" s="7">
        <v>0.0</v>
      </c>
      <c r="D409" s="8">
        <v>15.0</v>
      </c>
      <c r="E409" s="8">
        <v>3.8</v>
      </c>
      <c r="F409" s="8">
        <v>5.0</v>
      </c>
      <c r="G409" s="7">
        <f t="shared" si="1"/>
        <v>23.8</v>
      </c>
      <c r="H409" s="7" t="s">
        <v>14</v>
      </c>
      <c r="I409" s="7" t="s">
        <v>14</v>
      </c>
      <c r="J409" s="8">
        <v>1.0</v>
      </c>
      <c r="K409" s="7" t="s">
        <v>14</v>
      </c>
      <c r="L409" s="8">
        <v>0.0</v>
      </c>
      <c r="Q409" s="11"/>
    </row>
    <row r="410">
      <c r="A410" s="7" t="s">
        <v>420</v>
      </c>
      <c r="B410" s="7" t="s">
        <v>14</v>
      </c>
      <c r="C410" s="8">
        <v>0.0</v>
      </c>
      <c r="D410" s="8">
        <v>0.0</v>
      </c>
      <c r="E410" s="8">
        <v>9.0</v>
      </c>
      <c r="F410" s="8">
        <v>5.0</v>
      </c>
      <c r="G410" s="7">
        <f t="shared" si="1"/>
        <v>14</v>
      </c>
      <c r="H410" s="7" t="s">
        <v>14</v>
      </c>
      <c r="I410" s="7" t="s">
        <v>14</v>
      </c>
      <c r="J410" s="8">
        <v>1.0</v>
      </c>
      <c r="K410" s="7" t="s">
        <v>14</v>
      </c>
      <c r="L410" s="8">
        <v>0.0</v>
      </c>
      <c r="Q410" s="11"/>
    </row>
    <row r="411">
      <c r="A411" s="7" t="s">
        <v>421</v>
      </c>
      <c r="B411" s="7" t="s">
        <v>14</v>
      </c>
      <c r="C411" s="8">
        <v>10.1</v>
      </c>
      <c r="D411" s="8">
        <v>0.0</v>
      </c>
      <c r="E411" s="8">
        <v>0.0</v>
      </c>
      <c r="F411" s="8">
        <v>5.0</v>
      </c>
      <c r="G411" s="7">
        <f t="shared" si="1"/>
        <v>15.1</v>
      </c>
      <c r="H411" s="7" t="s">
        <v>14</v>
      </c>
      <c r="I411" s="7" t="s">
        <v>14</v>
      </c>
      <c r="J411" s="8">
        <v>0.0</v>
      </c>
      <c r="K411" s="7" t="s">
        <v>14</v>
      </c>
      <c r="L411" s="8">
        <v>1.0</v>
      </c>
      <c r="Q411" s="11"/>
    </row>
    <row r="412">
      <c r="A412" s="7" t="s">
        <v>422</v>
      </c>
      <c r="B412" s="7" t="s">
        <v>14</v>
      </c>
      <c r="C412" s="8">
        <v>12.5</v>
      </c>
      <c r="D412" s="8">
        <v>15.0</v>
      </c>
      <c r="E412" s="8">
        <v>5.3</v>
      </c>
      <c r="F412" s="8">
        <v>5.0</v>
      </c>
      <c r="G412" s="7">
        <f t="shared" si="1"/>
        <v>37.8</v>
      </c>
      <c r="H412" s="7" t="s">
        <v>14</v>
      </c>
      <c r="I412" s="7" t="s">
        <v>14</v>
      </c>
      <c r="J412" s="8">
        <v>1.0</v>
      </c>
      <c r="K412" s="7" t="s">
        <v>14</v>
      </c>
      <c r="L412" s="8">
        <v>0.0</v>
      </c>
      <c r="Q412" s="11"/>
    </row>
    <row r="413">
      <c r="A413" s="7" t="s">
        <v>423</v>
      </c>
      <c r="B413" s="7" t="s">
        <v>14</v>
      </c>
      <c r="C413" s="7">
        <v>0.0</v>
      </c>
      <c r="D413" s="8">
        <v>0.0</v>
      </c>
      <c r="E413" s="8">
        <v>10.5</v>
      </c>
      <c r="F413" s="8">
        <v>5.0</v>
      </c>
      <c r="G413" s="7">
        <f t="shared" si="1"/>
        <v>15.5</v>
      </c>
      <c r="H413" s="7" t="s">
        <v>14</v>
      </c>
      <c r="I413" s="7" t="s">
        <v>14</v>
      </c>
      <c r="J413" s="8">
        <v>1.0</v>
      </c>
      <c r="K413" s="7" t="s">
        <v>14</v>
      </c>
      <c r="L413" s="8">
        <v>0.0</v>
      </c>
      <c r="Q413" s="11"/>
    </row>
    <row r="414">
      <c r="A414" s="7" t="s">
        <v>424</v>
      </c>
      <c r="B414" s="7" t="s">
        <v>14</v>
      </c>
      <c r="C414" s="8">
        <v>8.7</v>
      </c>
      <c r="D414" s="8">
        <v>15.0</v>
      </c>
      <c r="E414" s="8">
        <v>0.8</v>
      </c>
      <c r="F414" s="8">
        <v>0.0</v>
      </c>
      <c r="G414" s="7">
        <f t="shared" si="1"/>
        <v>24.5</v>
      </c>
      <c r="H414" s="7" t="s">
        <v>14</v>
      </c>
      <c r="I414" s="7" t="s">
        <v>14</v>
      </c>
      <c r="J414" s="8">
        <v>1.0</v>
      </c>
      <c r="K414" s="7" t="s">
        <v>14</v>
      </c>
      <c r="L414" s="8">
        <v>0.0</v>
      </c>
      <c r="Q414" s="11"/>
    </row>
    <row r="415">
      <c r="A415" s="7" t="s">
        <v>425</v>
      </c>
      <c r="B415" s="7" t="s">
        <v>14</v>
      </c>
      <c r="C415" s="7">
        <v>0.0</v>
      </c>
      <c r="D415" s="8">
        <v>0.0</v>
      </c>
      <c r="E415" s="8">
        <v>0.0</v>
      </c>
      <c r="F415" s="8">
        <v>0.0</v>
      </c>
      <c r="G415" s="7">
        <f t="shared" si="1"/>
        <v>0</v>
      </c>
      <c r="H415" s="7" t="s">
        <v>14</v>
      </c>
      <c r="I415" s="7" t="s">
        <v>14</v>
      </c>
      <c r="J415" s="8">
        <v>1.0</v>
      </c>
      <c r="K415" s="7" t="s">
        <v>14</v>
      </c>
      <c r="L415" s="8">
        <v>0.0</v>
      </c>
      <c r="Q415" s="11"/>
    </row>
    <row r="416">
      <c r="A416" s="7" t="s">
        <v>426</v>
      </c>
      <c r="B416" s="7" t="s">
        <v>14</v>
      </c>
      <c r="C416" s="7">
        <v>20.0</v>
      </c>
      <c r="D416" s="8">
        <v>15.0</v>
      </c>
      <c r="E416" s="8">
        <v>0.0</v>
      </c>
      <c r="F416" s="8">
        <v>5.0</v>
      </c>
      <c r="G416" s="7">
        <f t="shared" si="1"/>
        <v>40</v>
      </c>
      <c r="H416" s="7" t="s">
        <v>14</v>
      </c>
      <c r="I416" s="7" t="s">
        <v>14</v>
      </c>
      <c r="J416" s="8">
        <v>1.0</v>
      </c>
      <c r="K416" s="7" t="s">
        <v>14</v>
      </c>
      <c r="L416" s="8">
        <v>1.0</v>
      </c>
      <c r="Q416" s="11"/>
    </row>
    <row r="417">
      <c r="A417" s="7" t="s">
        <v>427</v>
      </c>
      <c r="B417" s="7" t="s">
        <v>14</v>
      </c>
      <c r="C417" s="7">
        <v>20.0</v>
      </c>
      <c r="D417" s="8">
        <v>15.0</v>
      </c>
      <c r="E417" s="8">
        <v>5.3</v>
      </c>
      <c r="F417" s="8">
        <v>5.0</v>
      </c>
      <c r="G417" s="7">
        <f t="shared" si="1"/>
        <v>45.3</v>
      </c>
      <c r="H417" s="7" t="s">
        <v>14</v>
      </c>
      <c r="I417" s="7" t="s">
        <v>14</v>
      </c>
      <c r="J417" s="8">
        <v>0.0</v>
      </c>
      <c r="K417" s="7" t="s">
        <v>14</v>
      </c>
      <c r="L417" s="8">
        <v>1.0</v>
      </c>
      <c r="Q417" s="11"/>
    </row>
    <row r="418">
      <c r="A418" s="7" t="s">
        <v>428</v>
      </c>
      <c r="B418" s="7" t="s">
        <v>14</v>
      </c>
      <c r="C418" s="8">
        <v>15.8</v>
      </c>
      <c r="D418" s="8">
        <v>15.0</v>
      </c>
      <c r="E418" s="8">
        <v>8.2</v>
      </c>
      <c r="F418" s="8">
        <v>0.0</v>
      </c>
      <c r="G418" s="7">
        <f t="shared" si="1"/>
        <v>39</v>
      </c>
      <c r="H418" s="7" t="s">
        <v>14</v>
      </c>
      <c r="I418" s="7" t="s">
        <v>14</v>
      </c>
      <c r="J418" s="8">
        <v>1.0</v>
      </c>
      <c r="K418" s="7" t="s">
        <v>14</v>
      </c>
      <c r="L418" s="8">
        <v>0.0</v>
      </c>
      <c r="Q418" s="11"/>
    </row>
    <row r="419">
      <c r="A419" s="7" t="s">
        <v>429</v>
      </c>
      <c r="B419" s="7" t="s">
        <v>14</v>
      </c>
      <c r="C419" s="8">
        <v>15.0</v>
      </c>
      <c r="D419" s="8">
        <v>0.0</v>
      </c>
      <c r="E419" s="8">
        <v>5.3</v>
      </c>
      <c r="F419" s="8">
        <v>5.0</v>
      </c>
      <c r="G419" s="7">
        <f t="shared" si="1"/>
        <v>25.3</v>
      </c>
      <c r="H419" s="7" t="s">
        <v>14</v>
      </c>
      <c r="I419" s="7" t="s">
        <v>14</v>
      </c>
      <c r="J419" s="8">
        <v>1.0</v>
      </c>
      <c r="K419" s="7" t="s">
        <v>14</v>
      </c>
      <c r="L419" s="8">
        <v>0.0</v>
      </c>
      <c r="Q419" s="11"/>
    </row>
    <row r="420">
      <c r="A420" s="7" t="s">
        <v>430</v>
      </c>
      <c r="B420" s="7" t="s">
        <v>14</v>
      </c>
      <c r="C420" s="7">
        <v>0.0</v>
      </c>
      <c r="D420" s="8">
        <v>0.0</v>
      </c>
      <c r="E420" s="7">
        <v>10.5</v>
      </c>
      <c r="F420" s="8">
        <v>0.0</v>
      </c>
      <c r="G420" s="7">
        <f t="shared" si="1"/>
        <v>10.5</v>
      </c>
      <c r="H420" s="7" t="s">
        <v>14</v>
      </c>
      <c r="I420" s="7" t="s">
        <v>14</v>
      </c>
      <c r="J420" s="8">
        <v>1.0</v>
      </c>
      <c r="K420" s="7" t="s">
        <v>14</v>
      </c>
      <c r="L420" s="8">
        <v>0.0</v>
      </c>
      <c r="Q420" s="11"/>
    </row>
    <row r="421">
      <c r="A421" s="7" t="s">
        <v>431</v>
      </c>
      <c r="B421" s="7" t="s">
        <v>14</v>
      </c>
      <c r="C421" s="7">
        <v>11.2</v>
      </c>
      <c r="D421" s="8">
        <v>0.0</v>
      </c>
      <c r="E421" s="8">
        <v>8.2</v>
      </c>
      <c r="F421" s="8">
        <v>0.0</v>
      </c>
      <c r="G421" s="7">
        <f t="shared" si="1"/>
        <v>19.4</v>
      </c>
      <c r="H421" s="7" t="s">
        <v>14</v>
      </c>
      <c r="I421" s="7" t="s">
        <v>14</v>
      </c>
      <c r="J421" s="8">
        <v>3.0</v>
      </c>
      <c r="K421" s="7" t="s">
        <v>14</v>
      </c>
      <c r="L421" s="8">
        <v>3.0</v>
      </c>
      <c r="Q421" s="11"/>
    </row>
    <row r="422">
      <c r="A422" s="7" t="s">
        <v>432</v>
      </c>
      <c r="B422" s="7" t="s">
        <v>14</v>
      </c>
      <c r="C422" s="7">
        <v>0.0</v>
      </c>
      <c r="D422" s="8">
        <v>15.0</v>
      </c>
      <c r="E422" s="8">
        <v>0.0</v>
      </c>
      <c r="F422" s="8">
        <v>5.0</v>
      </c>
      <c r="G422" s="7">
        <f t="shared" si="1"/>
        <v>20</v>
      </c>
      <c r="H422" s="7" t="s">
        <v>14</v>
      </c>
      <c r="I422" s="7" t="s">
        <v>14</v>
      </c>
      <c r="J422" s="8">
        <v>0.0</v>
      </c>
      <c r="K422" s="7" t="s">
        <v>14</v>
      </c>
      <c r="L422" s="8">
        <v>1.0</v>
      </c>
      <c r="Q422" s="11"/>
    </row>
    <row r="423">
      <c r="A423" s="7" t="s">
        <v>433</v>
      </c>
      <c r="B423" s="7" t="s">
        <v>14</v>
      </c>
      <c r="C423" s="8">
        <v>20.0</v>
      </c>
      <c r="D423" s="8">
        <v>0.0</v>
      </c>
      <c r="E423" s="8">
        <v>4.5</v>
      </c>
      <c r="F423" s="8">
        <v>15.0</v>
      </c>
      <c r="G423" s="7">
        <f t="shared" si="1"/>
        <v>39.5</v>
      </c>
      <c r="H423" s="7" t="s">
        <v>14</v>
      </c>
      <c r="I423" s="7" t="s">
        <v>14</v>
      </c>
      <c r="J423" s="8">
        <v>1.0</v>
      </c>
      <c r="K423" s="7" t="s">
        <v>14</v>
      </c>
      <c r="L423" s="8">
        <v>0.0</v>
      </c>
      <c r="Q423" s="11"/>
    </row>
    <row r="424">
      <c r="A424" s="7" t="s">
        <v>434</v>
      </c>
      <c r="B424" s="7" t="s">
        <v>14</v>
      </c>
      <c r="C424" s="8">
        <v>13.2</v>
      </c>
      <c r="D424" s="8">
        <v>15.0</v>
      </c>
      <c r="E424" s="8">
        <v>5.3</v>
      </c>
      <c r="F424" s="8">
        <v>0.0</v>
      </c>
      <c r="G424" s="7">
        <f t="shared" si="1"/>
        <v>33.5</v>
      </c>
      <c r="H424" s="7" t="s">
        <v>14</v>
      </c>
      <c r="I424" s="7" t="s">
        <v>14</v>
      </c>
      <c r="J424" s="8">
        <v>1.0</v>
      </c>
      <c r="K424" s="7" t="s">
        <v>14</v>
      </c>
      <c r="L424" s="8">
        <v>1.0</v>
      </c>
      <c r="Q424" s="11"/>
    </row>
    <row r="425">
      <c r="A425" s="7" t="s">
        <v>435</v>
      </c>
      <c r="B425" s="7" t="s">
        <v>14</v>
      </c>
      <c r="C425" s="8">
        <v>0.0</v>
      </c>
      <c r="D425" s="8">
        <v>0.0</v>
      </c>
      <c r="E425" s="7">
        <v>2.1</v>
      </c>
      <c r="F425" s="8">
        <v>0.0</v>
      </c>
      <c r="G425" s="7">
        <f t="shared" si="1"/>
        <v>2.1</v>
      </c>
      <c r="H425" s="7" t="s">
        <v>14</v>
      </c>
      <c r="I425" s="7" t="s">
        <v>14</v>
      </c>
      <c r="J425" s="8">
        <v>1.0</v>
      </c>
      <c r="K425" s="7" t="s">
        <v>14</v>
      </c>
      <c r="L425" s="8">
        <v>0.0</v>
      </c>
      <c r="Q425" s="11"/>
    </row>
    <row r="426">
      <c r="A426" s="7" t="s">
        <v>436</v>
      </c>
      <c r="B426" s="7" t="s">
        <v>14</v>
      </c>
      <c r="C426" s="7">
        <v>20.0</v>
      </c>
      <c r="D426" s="8">
        <v>15.0</v>
      </c>
      <c r="E426" s="8">
        <v>5.3</v>
      </c>
      <c r="F426" s="8">
        <v>5.0</v>
      </c>
      <c r="G426" s="7">
        <f t="shared" si="1"/>
        <v>45.3</v>
      </c>
      <c r="H426" s="7" t="s">
        <v>14</v>
      </c>
      <c r="I426" s="7" t="s">
        <v>14</v>
      </c>
      <c r="J426" s="8">
        <v>0.0</v>
      </c>
      <c r="K426" s="7" t="s">
        <v>14</v>
      </c>
      <c r="L426" s="8">
        <v>1.0</v>
      </c>
      <c r="Q426" s="11"/>
    </row>
    <row r="427">
      <c r="A427" s="7" t="s">
        <v>437</v>
      </c>
      <c r="B427" s="7" t="s">
        <v>14</v>
      </c>
      <c r="C427" s="7">
        <v>0.0</v>
      </c>
      <c r="D427" s="8">
        <v>15.0</v>
      </c>
      <c r="E427" s="8">
        <v>0.0</v>
      </c>
      <c r="F427" s="8">
        <v>5.0</v>
      </c>
      <c r="G427" s="7">
        <f t="shared" si="1"/>
        <v>20</v>
      </c>
      <c r="H427" s="7" t="s">
        <v>14</v>
      </c>
      <c r="I427" s="7" t="s">
        <v>14</v>
      </c>
      <c r="J427" s="8">
        <v>1.0</v>
      </c>
      <c r="K427" s="7" t="s">
        <v>14</v>
      </c>
      <c r="L427" s="8">
        <v>1.0</v>
      </c>
      <c r="Q427" s="11"/>
    </row>
    <row r="428">
      <c r="A428" s="7" t="s">
        <v>438</v>
      </c>
      <c r="B428" s="7" t="s">
        <v>14</v>
      </c>
      <c r="C428" s="8">
        <v>15.4</v>
      </c>
      <c r="D428" s="8">
        <v>15.0</v>
      </c>
      <c r="E428" s="8">
        <v>6.7</v>
      </c>
      <c r="F428" s="8">
        <v>5.0</v>
      </c>
      <c r="G428" s="7">
        <f t="shared" si="1"/>
        <v>42.1</v>
      </c>
      <c r="H428" s="7" t="s">
        <v>14</v>
      </c>
      <c r="I428" s="7" t="s">
        <v>14</v>
      </c>
      <c r="J428" s="8">
        <v>1.0</v>
      </c>
      <c r="K428" s="7" t="s">
        <v>14</v>
      </c>
      <c r="L428" s="8">
        <v>0.0</v>
      </c>
      <c r="Q428" s="11"/>
    </row>
    <row r="429">
      <c r="A429" s="7" t="s">
        <v>439</v>
      </c>
      <c r="B429" s="7" t="s">
        <v>14</v>
      </c>
      <c r="C429" s="8">
        <v>11.8</v>
      </c>
      <c r="D429" s="8">
        <v>15.0</v>
      </c>
      <c r="E429" s="8">
        <v>1.5</v>
      </c>
      <c r="F429" s="8">
        <v>5.0</v>
      </c>
      <c r="G429" s="7">
        <f t="shared" si="1"/>
        <v>33.3</v>
      </c>
      <c r="H429" s="7" t="s">
        <v>14</v>
      </c>
      <c r="I429" s="7" t="s">
        <v>14</v>
      </c>
      <c r="J429" s="8">
        <v>1.0</v>
      </c>
      <c r="K429" s="7" t="s">
        <v>14</v>
      </c>
      <c r="L429" s="8">
        <v>1.0</v>
      </c>
      <c r="Q429" s="11"/>
    </row>
    <row r="430">
      <c r="A430" s="7" t="s">
        <v>440</v>
      </c>
      <c r="B430" s="7" t="s">
        <v>14</v>
      </c>
      <c r="C430" s="7">
        <v>20.0</v>
      </c>
      <c r="D430" s="8">
        <v>15.0</v>
      </c>
      <c r="E430" s="8">
        <v>5.3</v>
      </c>
      <c r="F430" s="8">
        <v>0.0</v>
      </c>
      <c r="G430" s="7">
        <f t="shared" si="1"/>
        <v>40.3</v>
      </c>
      <c r="H430" s="7" t="s">
        <v>14</v>
      </c>
      <c r="I430" s="7" t="s">
        <v>14</v>
      </c>
      <c r="J430" s="8">
        <v>1.0</v>
      </c>
      <c r="K430" s="7" t="s">
        <v>14</v>
      </c>
      <c r="L430" s="8">
        <v>0.0</v>
      </c>
      <c r="Q430" s="11"/>
    </row>
    <row r="431">
      <c r="A431" s="7" t="s">
        <v>441</v>
      </c>
      <c r="B431" s="7" t="s">
        <v>14</v>
      </c>
      <c r="C431" s="7">
        <v>11.2</v>
      </c>
      <c r="D431" s="8">
        <v>15.0</v>
      </c>
      <c r="E431" s="8">
        <v>6.7</v>
      </c>
      <c r="F431" s="8">
        <v>0.0</v>
      </c>
      <c r="G431" s="7">
        <f t="shared" si="1"/>
        <v>32.9</v>
      </c>
      <c r="H431" s="7" t="s">
        <v>14</v>
      </c>
      <c r="I431" s="7" t="s">
        <v>14</v>
      </c>
      <c r="J431" s="8">
        <v>1.0</v>
      </c>
      <c r="K431" s="7" t="s">
        <v>14</v>
      </c>
      <c r="L431" s="8">
        <v>0.0</v>
      </c>
      <c r="Q431" s="11"/>
    </row>
    <row r="432">
      <c r="A432" s="7" t="s">
        <v>442</v>
      </c>
      <c r="B432" s="7" t="s">
        <v>14</v>
      </c>
      <c r="C432" s="7">
        <v>0.0</v>
      </c>
      <c r="D432" s="8">
        <v>15.0</v>
      </c>
      <c r="E432" s="8">
        <v>5.3</v>
      </c>
      <c r="F432" s="8">
        <v>5.0</v>
      </c>
      <c r="G432" s="7">
        <f t="shared" si="1"/>
        <v>25.3</v>
      </c>
      <c r="H432" s="7" t="s">
        <v>14</v>
      </c>
      <c r="I432" s="7" t="s">
        <v>14</v>
      </c>
      <c r="J432" s="8">
        <v>1.0</v>
      </c>
      <c r="K432" s="7" t="s">
        <v>14</v>
      </c>
      <c r="L432" s="8">
        <v>0.0</v>
      </c>
      <c r="Q432" s="11"/>
    </row>
    <row r="433">
      <c r="A433" s="7" t="s">
        <v>443</v>
      </c>
      <c r="B433" s="7" t="s">
        <v>14</v>
      </c>
      <c r="C433" s="8">
        <v>18.2</v>
      </c>
      <c r="D433" s="8">
        <v>15.0</v>
      </c>
      <c r="E433" s="8">
        <v>6.7</v>
      </c>
      <c r="F433" s="8">
        <v>5.0</v>
      </c>
      <c r="G433" s="7">
        <f t="shared" si="1"/>
        <v>44.9</v>
      </c>
      <c r="H433" s="7" t="s">
        <v>14</v>
      </c>
      <c r="I433" s="7" t="s">
        <v>14</v>
      </c>
      <c r="J433" s="8">
        <v>1.0</v>
      </c>
      <c r="K433" s="7" t="s">
        <v>14</v>
      </c>
      <c r="L433" s="8">
        <v>0.0</v>
      </c>
      <c r="Q433" s="11"/>
    </row>
    <row r="434">
      <c r="A434" s="7" t="s">
        <v>444</v>
      </c>
      <c r="B434" s="7" t="s">
        <v>14</v>
      </c>
      <c r="C434" s="7">
        <v>5.28</v>
      </c>
      <c r="D434" s="8">
        <v>15.0</v>
      </c>
      <c r="E434" s="8">
        <v>5.3</v>
      </c>
      <c r="F434" s="8">
        <v>0.0</v>
      </c>
      <c r="G434" s="7">
        <f t="shared" si="1"/>
        <v>25.58</v>
      </c>
      <c r="H434" s="7" t="s">
        <v>14</v>
      </c>
      <c r="I434" s="7" t="s">
        <v>14</v>
      </c>
      <c r="J434" s="8">
        <v>1.0</v>
      </c>
      <c r="K434" s="7" t="s">
        <v>14</v>
      </c>
      <c r="L434" s="8">
        <v>0.0</v>
      </c>
      <c r="Q434" s="11"/>
    </row>
    <row r="435">
      <c r="A435" s="7" t="s">
        <v>445</v>
      </c>
      <c r="B435" s="7" t="s">
        <v>14</v>
      </c>
      <c r="C435" s="7">
        <v>2.92</v>
      </c>
      <c r="D435" s="8">
        <v>15.0</v>
      </c>
      <c r="E435" s="8">
        <v>7.5</v>
      </c>
      <c r="F435" s="8">
        <v>0.0</v>
      </c>
      <c r="G435" s="7">
        <f t="shared" si="1"/>
        <v>25.42</v>
      </c>
      <c r="H435" s="7" t="s">
        <v>14</v>
      </c>
      <c r="I435" s="7" t="s">
        <v>14</v>
      </c>
      <c r="J435" s="8">
        <v>1.0</v>
      </c>
      <c r="K435" s="7" t="s">
        <v>14</v>
      </c>
      <c r="L435" s="8">
        <v>0.0</v>
      </c>
      <c r="Q435" s="11"/>
    </row>
    <row r="436">
      <c r="A436" s="7" t="s">
        <v>446</v>
      </c>
      <c r="B436" s="7" t="s">
        <v>14</v>
      </c>
      <c r="C436" s="7">
        <v>10.6</v>
      </c>
      <c r="D436" s="8">
        <v>0.0</v>
      </c>
      <c r="E436" s="8">
        <v>5.3</v>
      </c>
      <c r="F436" s="8">
        <v>5.0</v>
      </c>
      <c r="G436" s="7">
        <f t="shared" si="1"/>
        <v>20.9</v>
      </c>
      <c r="H436" s="7" t="s">
        <v>14</v>
      </c>
      <c r="I436" s="7" t="s">
        <v>14</v>
      </c>
      <c r="J436" s="8">
        <v>1.0</v>
      </c>
      <c r="K436" s="7" t="s">
        <v>14</v>
      </c>
      <c r="L436" s="8">
        <v>0.0</v>
      </c>
      <c r="Q436" s="11"/>
    </row>
    <row r="437">
      <c r="A437" s="7" t="s">
        <v>447</v>
      </c>
      <c r="B437" s="7" t="s">
        <v>14</v>
      </c>
      <c r="C437" s="7">
        <v>0.0</v>
      </c>
      <c r="D437" s="8">
        <v>0.0</v>
      </c>
      <c r="E437" s="8">
        <v>5.3</v>
      </c>
      <c r="F437" s="8">
        <v>5.0</v>
      </c>
      <c r="G437" s="7">
        <f t="shared" si="1"/>
        <v>10.3</v>
      </c>
      <c r="H437" s="7" t="s">
        <v>14</v>
      </c>
      <c r="I437" s="7" t="s">
        <v>14</v>
      </c>
      <c r="J437" s="8">
        <v>0.0</v>
      </c>
      <c r="K437" s="7" t="s">
        <v>14</v>
      </c>
      <c r="L437" s="8">
        <v>1.0</v>
      </c>
      <c r="Q437" s="11"/>
    </row>
    <row r="438">
      <c r="A438" s="7" t="s">
        <v>448</v>
      </c>
      <c r="B438" s="7" t="s">
        <v>14</v>
      </c>
      <c r="C438" s="8">
        <v>16.0</v>
      </c>
      <c r="D438" s="8">
        <v>15.0</v>
      </c>
      <c r="E438" s="8">
        <v>6.7</v>
      </c>
      <c r="F438" s="8">
        <v>20.0</v>
      </c>
      <c r="G438" s="7">
        <f t="shared" si="1"/>
        <v>57.7</v>
      </c>
      <c r="H438" s="7" t="s">
        <v>14</v>
      </c>
      <c r="I438" s="7" t="s">
        <v>14</v>
      </c>
      <c r="J438" s="8">
        <v>2.0</v>
      </c>
      <c r="K438" s="7" t="s">
        <v>14</v>
      </c>
      <c r="L438" s="8">
        <v>2.0</v>
      </c>
      <c r="Q438" s="11"/>
    </row>
    <row r="439">
      <c r="A439" s="7" t="s">
        <v>449</v>
      </c>
      <c r="B439" s="7" t="s">
        <v>14</v>
      </c>
      <c r="C439" s="7">
        <v>0.0</v>
      </c>
      <c r="D439" s="8">
        <v>0.0</v>
      </c>
      <c r="E439" s="8">
        <v>6.7</v>
      </c>
      <c r="F439" s="8">
        <v>0.0</v>
      </c>
      <c r="G439" s="7">
        <f t="shared" si="1"/>
        <v>6.7</v>
      </c>
      <c r="H439" s="7" t="s">
        <v>14</v>
      </c>
      <c r="I439" s="7" t="s">
        <v>14</v>
      </c>
      <c r="J439" s="8">
        <v>1.0</v>
      </c>
      <c r="K439" s="7" t="s">
        <v>14</v>
      </c>
      <c r="L439" s="8">
        <v>0.0</v>
      </c>
      <c r="Q439" s="11"/>
    </row>
    <row r="440">
      <c r="A440" s="7" t="s">
        <v>450</v>
      </c>
      <c r="B440" s="7" t="s">
        <v>14</v>
      </c>
      <c r="C440" s="7">
        <v>0.0</v>
      </c>
      <c r="D440" s="8">
        <v>0.0</v>
      </c>
      <c r="E440" s="8">
        <v>5.3</v>
      </c>
      <c r="F440" s="8">
        <v>5.0</v>
      </c>
      <c r="G440" s="7">
        <f t="shared" si="1"/>
        <v>10.3</v>
      </c>
      <c r="H440" s="7" t="s">
        <v>14</v>
      </c>
      <c r="I440" s="7" t="s">
        <v>14</v>
      </c>
      <c r="J440" s="8">
        <v>1.0</v>
      </c>
      <c r="K440" s="7" t="s">
        <v>14</v>
      </c>
      <c r="L440" s="8">
        <v>1.0</v>
      </c>
      <c r="Q440" s="11"/>
    </row>
    <row r="441">
      <c r="A441" s="7" t="s">
        <v>451</v>
      </c>
      <c r="B441" s="7" t="s">
        <v>14</v>
      </c>
      <c r="C441" s="8">
        <v>9.1</v>
      </c>
      <c r="D441" s="8">
        <v>15.0</v>
      </c>
      <c r="E441" s="8">
        <v>8.2</v>
      </c>
      <c r="F441" s="8">
        <v>0.0</v>
      </c>
      <c r="G441" s="7">
        <f t="shared" si="1"/>
        <v>32.3</v>
      </c>
      <c r="H441" s="7" t="s">
        <v>14</v>
      </c>
      <c r="I441" s="7" t="s">
        <v>14</v>
      </c>
      <c r="J441" s="8">
        <v>1.0</v>
      </c>
      <c r="K441" s="7" t="s">
        <v>14</v>
      </c>
      <c r="L441" s="8">
        <v>0.0</v>
      </c>
      <c r="Q441" s="11"/>
    </row>
    <row r="442">
      <c r="A442" s="7" t="s">
        <v>452</v>
      </c>
      <c r="B442" s="7" t="s">
        <v>14</v>
      </c>
      <c r="C442" s="7">
        <v>2.92</v>
      </c>
      <c r="D442" s="8">
        <v>15.0</v>
      </c>
      <c r="E442" s="8">
        <v>4.5</v>
      </c>
      <c r="F442" s="8">
        <v>0.0</v>
      </c>
      <c r="G442" s="7">
        <f t="shared" si="1"/>
        <v>22.42</v>
      </c>
      <c r="H442" s="7" t="s">
        <v>14</v>
      </c>
      <c r="I442" s="7" t="s">
        <v>14</v>
      </c>
      <c r="J442" s="8">
        <v>1.0</v>
      </c>
      <c r="K442" s="7" t="s">
        <v>14</v>
      </c>
      <c r="L442" s="8">
        <v>0.0</v>
      </c>
      <c r="Q442" s="11"/>
    </row>
    <row r="443">
      <c r="A443" s="7" t="s">
        <v>453</v>
      </c>
      <c r="B443" s="7" t="s">
        <v>14</v>
      </c>
      <c r="C443" s="8">
        <v>15.1</v>
      </c>
      <c r="D443" s="8">
        <v>0.0</v>
      </c>
      <c r="E443" s="8">
        <v>4.5</v>
      </c>
      <c r="F443" s="8">
        <v>5.0</v>
      </c>
      <c r="G443" s="7">
        <f t="shared" si="1"/>
        <v>24.6</v>
      </c>
      <c r="H443" s="7" t="s">
        <v>14</v>
      </c>
      <c r="I443" s="7" t="s">
        <v>14</v>
      </c>
      <c r="J443" s="8">
        <v>0.0</v>
      </c>
      <c r="K443" s="7" t="s">
        <v>14</v>
      </c>
      <c r="L443" s="8">
        <v>1.0</v>
      </c>
      <c r="Q443" s="11"/>
    </row>
    <row r="444">
      <c r="A444" s="7" t="s">
        <v>454</v>
      </c>
      <c r="B444" s="7" t="s">
        <v>14</v>
      </c>
      <c r="C444" s="7">
        <v>11.94</v>
      </c>
      <c r="D444" s="8">
        <v>0.0</v>
      </c>
      <c r="E444" s="8">
        <v>3.0</v>
      </c>
      <c r="F444" s="8">
        <v>5.0</v>
      </c>
      <c r="G444" s="7">
        <f t="shared" si="1"/>
        <v>19.94</v>
      </c>
      <c r="H444" s="7" t="s">
        <v>14</v>
      </c>
      <c r="I444" s="7" t="s">
        <v>14</v>
      </c>
      <c r="J444" s="8">
        <v>1.0</v>
      </c>
      <c r="K444" s="7" t="s">
        <v>14</v>
      </c>
      <c r="L444" s="8">
        <v>0.0</v>
      </c>
      <c r="Q444" s="11"/>
    </row>
    <row r="445">
      <c r="A445" s="7" t="s">
        <v>455</v>
      </c>
      <c r="B445" s="7" t="s">
        <v>14</v>
      </c>
      <c r="C445" s="8">
        <v>17.2</v>
      </c>
      <c r="D445" s="8">
        <v>15.0</v>
      </c>
      <c r="E445" s="8">
        <v>7.5</v>
      </c>
      <c r="F445" s="8">
        <v>5.0</v>
      </c>
      <c r="G445" s="7">
        <f t="shared" si="1"/>
        <v>44.7</v>
      </c>
      <c r="H445" s="7" t="s">
        <v>14</v>
      </c>
      <c r="I445" s="7" t="s">
        <v>14</v>
      </c>
      <c r="J445" s="8">
        <v>1.0</v>
      </c>
      <c r="K445" s="7" t="s">
        <v>14</v>
      </c>
      <c r="L445" s="8">
        <v>1.0</v>
      </c>
      <c r="Q445" s="11"/>
    </row>
    <row r="446">
      <c r="A446" s="7" t="s">
        <v>456</v>
      </c>
      <c r="B446" s="7" t="s">
        <v>14</v>
      </c>
      <c r="C446" s="8">
        <v>18.8</v>
      </c>
      <c r="D446" s="8">
        <v>15.0</v>
      </c>
      <c r="E446" s="8">
        <v>8.2</v>
      </c>
      <c r="F446" s="8">
        <v>10.0</v>
      </c>
      <c r="G446" s="7">
        <f t="shared" si="1"/>
        <v>52</v>
      </c>
      <c r="H446" s="7" t="s">
        <v>14</v>
      </c>
      <c r="I446" s="7" t="s">
        <v>14</v>
      </c>
      <c r="J446" s="8">
        <v>1.0</v>
      </c>
      <c r="K446" s="7" t="s">
        <v>14</v>
      </c>
      <c r="L446" s="8">
        <v>0.0</v>
      </c>
      <c r="Q446" s="11"/>
    </row>
    <row r="447">
      <c r="A447" s="7" t="s">
        <v>457</v>
      </c>
      <c r="B447" s="7" t="s">
        <v>14</v>
      </c>
      <c r="C447" s="8">
        <v>13.3</v>
      </c>
      <c r="D447" s="8">
        <v>0.0</v>
      </c>
      <c r="E447" s="8">
        <v>8.2</v>
      </c>
      <c r="F447" s="8">
        <v>5.0</v>
      </c>
      <c r="G447" s="7">
        <f t="shared" si="1"/>
        <v>26.5</v>
      </c>
      <c r="H447" s="7" t="s">
        <v>14</v>
      </c>
      <c r="I447" s="7" t="s">
        <v>14</v>
      </c>
      <c r="J447" s="8">
        <v>1.0</v>
      </c>
      <c r="K447" s="7" t="s">
        <v>14</v>
      </c>
      <c r="L447" s="8">
        <v>0.0</v>
      </c>
      <c r="Q447" s="11"/>
    </row>
    <row r="448">
      <c r="A448" s="7" t="s">
        <v>458</v>
      </c>
      <c r="B448" s="7" t="s">
        <v>14</v>
      </c>
      <c r="C448" s="7">
        <v>7.5</v>
      </c>
      <c r="D448" s="8">
        <v>15.0</v>
      </c>
      <c r="E448" s="8">
        <v>3.8</v>
      </c>
      <c r="F448" s="8">
        <v>0.0</v>
      </c>
      <c r="G448" s="7">
        <f t="shared" si="1"/>
        <v>26.3</v>
      </c>
      <c r="H448" s="7" t="s">
        <v>14</v>
      </c>
      <c r="I448" s="7" t="s">
        <v>14</v>
      </c>
      <c r="J448" s="8">
        <v>1.0</v>
      </c>
      <c r="K448" s="7" t="s">
        <v>14</v>
      </c>
      <c r="L448" s="8">
        <v>0.0</v>
      </c>
      <c r="Q448" s="11"/>
    </row>
    <row r="449">
      <c r="A449" s="7" t="s">
        <v>459</v>
      </c>
      <c r="B449" s="7" t="s">
        <v>14</v>
      </c>
      <c r="C449" s="7">
        <v>0.0</v>
      </c>
      <c r="D449" s="8">
        <v>0.0</v>
      </c>
      <c r="E449" s="8">
        <v>6.7</v>
      </c>
      <c r="F449" s="8">
        <v>0.0</v>
      </c>
      <c r="G449" s="7">
        <f t="shared" si="1"/>
        <v>6.7</v>
      </c>
      <c r="H449" s="7" t="s">
        <v>14</v>
      </c>
      <c r="I449" s="7" t="s">
        <v>14</v>
      </c>
      <c r="J449" s="8">
        <v>1.0</v>
      </c>
      <c r="K449" s="7" t="s">
        <v>14</v>
      </c>
      <c r="L449" s="8">
        <v>0.0</v>
      </c>
      <c r="Q449" s="11"/>
    </row>
    <row r="450">
      <c r="A450" s="7" t="s">
        <v>460</v>
      </c>
      <c r="B450" s="7" t="s">
        <v>14</v>
      </c>
      <c r="C450" s="7">
        <v>6.11</v>
      </c>
      <c r="D450" s="8">
        <v>0.0</v>
      </c>
      <c r="E450" s="8">
        <v>6.7</v>
      </c>
      <c r="F450" s="8">
        <v>5.0</v>
      </c>
      <c r="G450" s="7">
        <f t="shared" si="1"/>
        <v>17.81</v>
      </c>
      <c r="H450" s="7" t="s">
        <v>14</v>
      </c>
      <c r="I450" s="7" t="s">
        <v>14</v>
      </c>
      <c r="J450" s="8">
        <v>1.0</v>
      </c>
      <c r="K450" s="7" t="s">
        <v>14</v>
      </c>
      <c r="L450" s="8">
        <v>1.0</v>
      </c>
      <c r="Q450" s="11"/>
    </row>
    <row r="451">
      <c r="A451" s="7" t="s">
        <v>461</v>
      </c>
      <c r="B451" s="7" t="s">
        <v>14</v>
      </c>
      <c r="C451" s="7">
        <v>0.0</v>
      </c>
      <c r="D451" s="8">
        <v>15.0</v>
      </c>
      <c r="E451" s="8">
        <v>4.5</v>
      </c>
      <c r="F451" s="8">
        <v>0.0</v>
      </c>
      <c r="G451" s="7">
        <f t="shared" si="1"/>
        <v>19.5</v>
      </c>
      <c r="H451" s="7" t="s">
        <v>14</v>
      </c>
      <c r="I451" s="7" t="s">
        <v>14</v>
      </c>
      <c r="J451" s="8">
        <v>1.0</v>
      </c>
      <c r="K451" s="7" t="s">
        <v>14</v>
      </c>
      <c r="L451" s="8">
        <v>1.0</v>
      </c>
      <c r="Q451" s="11"/>
    </row>
    <row r="452">
      <c r="A452" s="7" t="s">
        <v>462</v>
      </c>
      <c r="B452" s="7" t="s">
        <v>14</v>
      </c>
      <c r="C452" s="7">
        <v>6.44</v>
      </c>
      <c r="D452" s="8">
        <v>0.0</v>
      </c>
      <c r="E452" s="8">
        <v>6.0</v>
      </c>
      <c r="F452" s="8">
        <v>0.0</v>
      </c>
      <c r="G452" s="7">
        <f t="shared" si="1"/>
        <v>12.44</v>
      </c>
      <c r="H452" s="7" t="s">
        <v>14</v>
      </c>
      <c r="I452" s="7" t="s">
        <v>14</v>
      </c>
      <c r="J452" s="8">
        <v>1.0</v>
      </c>
      <c r="K452" s="7" t="s">
        <v>14</v>
      </c>
      <c r="L452" s="8">
        <v>0.0</v>
      </c>
      <c r="Q452" s="11"/>
    </row>
    <row r="453">
      <c r="A453" s="7" t="s">
        <v>463</v>
      </c>
      <c r="B453" s="7" t="s">
        <v>14</v>
      </c>
      <c r="C453" s="7">
        <v>0.0</v>
      </c>
      <c r="D453" s="8">
        <v>15.0</v>
      </c>
      <c r="E453" s="8">
        <v>6.7</v>
      </c>
      <c r="F453" s="8">
        <v>0.0</v>
      </c>
      <c r="G453" s="7">
        <f t="shared" si="1"/>
        <v>21.7</v>
      </c>
      <c r="H453" s="7" t="s">
        <v>14</v>
      </c>
      <c r="I453" s="7" t="s">
        <v>14</v>
      </c>
      <c r="J453" s="8">
        <v>1.0</v>
      </c>
      <c r="K453" s="7" t="s">
        <v>14</v>
      </c>
      <c r="L453" s="8">
        <v>0.0</v>
      </c>
      <c r="Q453" s="11"/>
    </row>
    <row r="454">
      <c r="A454" s="7" t="s">
        <v>464</v>
      </c>
      <c r="B454" s="7" t="s">
        <v>14</v>
      </c>
      <c r="C454" s="8">
        <v>12.7</v>
      </c>
      <c r="D454" s="8">
        <v>0.0</v>
      </c>
      <c r="E454" s="8">
        <v>3.8</v>
      </c>
      <c r="F454" s="8">
        <v>5.0</v>
      </c>
      <c r="G454" s="7">
        <f t="shared" si="1"/>
        <v>21.5</v>
      </c>
      <c r="H454" s="7" t="s">
        <v>14</v>
      </c>
      <c r="I454" s="7" t="s">
        <v>14</v>
      </c>
      <c r="J454" s="8">
        <v>0.0</v>
      </c>
      <c r="K454" s="7" t="s">
        <v>14</v>
      </c>
      <c r="L454" s="8">
        <v>1.0</v>
      </c>
      <c r="Q454" s="11"/>
    </row>
    <row r="455">
      <c r="A455" s="7" t="s">
        <v>465</v>
      </c>
      <c r="B455" s="7" t="s">
        <v>14</v>
      </c>
      <c r="C455" s="7">
        <v>0.0</v>
      </c>
      <c r="D455" s="8">
        <v>15.0</v>
      </c>
      <c r="E455" s="8">
        <v>9.7</v>
      </c>
      <c r="F455" s="8">
        <v>0.0</v>
      </c>
      <c r="G455" s="7">
        <f t="shared" si="1"/>
        <v>24.7</v>
      </c>
      <c r="H455" s="7" t="s">
        <v>14</v>
      </c>
      <c r="I455" s="7" t="s">
        <v>14</v>
      </c>
      <c r="J455" s="8">
        <v>1.0</v>
      </c>
      <c r="K455" s="7" t="s">
        <v>14</v>
      </c>
      <c r="L455" s="8">
        <v>1.0</v>
      </c>
      <c r="Q455" s="11"/>
    </row>
    <row r="456">
      <c r="A456" s="7" t="s">
        <v>466</v>
      </c>
      <c r="B456" s="7" t="s">
        <v>14</v>
      </c>
      <c r="C456" s="7">
        <v>0.0</v>
      </c>
      <c r="D456" s="8">
        <v>15.0</v>
      </c>
      <c r="E456" s="8">
        <v>6.0</v>
      </c>
      <c r="F456" s="8">
        <v>5.0</v>
      </c>
      <c r="G456" s="7">
        <f t="shared" si="1"/>
        <v>26</v>
      </c>
      <c r="H456" s="7" t="s">
        <v>14</v>
      </c>
      <c r="I456" s="7" t="s">
        <v>14</v>
      </c>
      <c r="J456" s="8">
        <v>1.0</v>
      </c>
      <c r="K456" s="7" t="s">
        <v>14</v>
      </c>
      <c r="L456" s="8">
        <v>0.0</v>
      </c>
      <c r="Q456" s="11"/>
    </row>
    <row r="457">
      <c r="A457" s="7" t="s">
        <v>467</v>
      </c>
      <c r="B457" s="7" t="s">
        <v>14</v>
      </c>
      <c r="C457" s="8">
        <v>10.6</v>
      </c>
      <c r="D457" s="8">
        <v>15.0</v>
      </c>
      <c r="E457" s="8">
        <v>8.2</v>
      </c>
      <c r="F457" s="8">
        <v>0.0</v>
      </c>
      <c r="G457" s="7">
        <f t="shared" si="1"/>
        <v>33.8</v>
      </c>
      <c r="H457" s="7" t="s">
        <v>14</v>
      </c>
      <c r="I457" s="7" t="s">
        <v>14</v>
      </c>
      <c r="J457" s="8">
        <v>1.0</v>
      </c>
      <c r="K457" s="7" t="s">
        <v>14</v>
      </c>
      <c r="L457" s="8">
        <v>1.0</v>
      </c>
      <c r="Q457" s="11"/>
    </row>
    <row r="458">
      <c r="A458" s="7" t="s">
        <v>468</v>
      </c>
      <c r="B458" s="7" t="s">
        <v>14</v>
      </c>
      <c r="C458" s="7">
        <v>0.0</v>
      </c>
      <c r="D458" s="8">
        <v>0.0</v>
      </c>
      <c r="E458" s="7">
        <v>6.0</v>
      </c>
      <c r="F458" s="7">
        <v>0.0</v>
      </c>
      <c r="G458" s="7">
        <f t="shared" si="1"/>
        <v>6</v>
      </c>
      <c r="H458" s="7" t="s">
        <v>14</v>
      </c>
      <c r="I458" s="7" t="s">
        <v>14</v>
      </c>
      <c r="J458" s="8">
        <v>1.0</v>
      </c>
      <c r="K458" s="7" t="s">
        <v>14</v>
      </c>
      <c r="L458" s="8">
        <v>0.0</v>
      </c>
      <c r="Q458" s="11"/>
    </row>
    <row r="459">
      <c r="A459" s="7" t="s">
        <v>469</v>
      </c>
      <c r="B459" s="7" t="s">
        <v>14</v>
      </c>
      <c r="C459" s="7">
        <v>0.3</v>
      </c>
      <c r="D459" s="8">
        <v>15.0</v>
      </c>
      <c r="E459" s="8">
        <v>0.0</v>
      </c>
      <c r="F459" s="8">
        <v>0.0</v>
      </c>
      <c r="G459" s="7">
        <f t="shared" si="1"/>
        <v>15.3</v>
      </c>
      <c r="H459" s="7" t="s">
        <v>14</v>
      </c>
      <c r="I459" s="7" t="s">
        <v>14</v>
      </c>
      <c r="J459" s="8">
        <v>0.0</v>
      </c>
      <c r="K459" s="7" t="s">
        <v>14</v>
      </c>
      <c r="L459" s="8">
        <v>1.0</v>
      </c>
      <c r="Q459" s="11"/>
    </row>
    <row r="460">
      <c r="A460" s="7" t="s">
        <v>470</v>
      </c>
      <c r="B460" s="7" t="s">
        <v>14</v>
      </c>
      <c r="C460" s="7">
        <v>0.3</v>
      </c>
      <c r="D460" s="8">
        <v>0.0</v>
      </c>
      <c r="E460" s="8">
        <v>6.7</v>
      </c>
      <c r="F460" s="8">
        <v>0.0</v>
      </c>
      <c r="G460" s="7">
        <f t="shared" si="1"/>
        <v>7</v>
      </c>
      <c r="H460" s="7" t="s">
        <v>14</v>
      </c>
      <c r="I460" s="7" t="s">
        <v>14</v>
      </c>
      <c r="J460" s="8">
        <v>1.0</v>
      </c>
      <c r="K460" s="7" t="s">
        <v>14</v>
      </c>
      <c r="L460" s="8">
        <v>0.0</v>
      </c>
      <c r="Q460" s="11"/>
    </row>
    <row r="461">
      <c r="A461" s="7" t="s">
        <v>471</v>
      </c>
      <c r="B461" s="7" t="s">
        <v>14</v>
      </c>
      <c r="C461" s="7">
        <v>0.0</v>
      </c>
      <c r="D461" s="8">
        <v>15.0</v>
      </c>
      <c r="E461" s="8">
        <v>13.5</v>
      </c>
      <c r="F461" s="8">
        <v>0.0</v>
      </c>
      <c r="G461" s="7">
        <f t="shared" si="1"/>
        <v>28.5</v>
      </c>
      <c r="H461" s="7" t="s">
        <v>14</v>
      </c>
      <c r="I461" s="7" t="s">
        <v>14</v>
      </c>
      <c r="J461" s="8">
        <v>0.0</v>
      </c>
      <c r="K461" s="7" t="s">
        <v>14</v>
      </c>
      <c r="L461" s="8">
        <v>1.0</v>
      </c>
      <c r="Q461" s="11"/>
    </row>
    <row r="462">
      <c r="A462" s="31" t="s">
        <v>472</v>
      </c>
      <c r="B462" s="7" t="s">
        <v>14</v>
      </c>
      <c r="C462" s="7">
        <v>0.0</v>
      </c>
      <c r="D462" s="8">
        <v>15.0</v>
      </c>
      <c r="E462" s="8">
        <v>9.7</v>
      </c>
      <c r="F462" s="8">
        <v>0.0</v>
      </c>
      <c r="G462" s="7">
        <f t="shared" si="1"/>
        <v>24.7</v>
      </c>
      <c r="H462" s="7" t="s">
        <v>14</v>
      </c>
      <c r="I462" s="7" t="s">
        <v>14</v>
      </c>
      <c r="J462" s="8">
        <v>0.0</v>
      </c>
      <c r="K462" s="7" t="s">
        <v>14</v>
      </c>
      <c r="L462" s="8">
        <v>1.0</v>
      </c>
      <c r="Q462" s="11"/>
    </row>
    <row r="463">
      <c r="A463" s="7" t="s">
        <v>473</v>
      </c>
      <c r="B463" s="7" t="s">
        <v>14</v>
      </c>
      <c r="C463" s="8">
        <v>13.5</v>
      </c>
      <c r="D463" s="8">
        <v>0.0</v>
      </c>
      <c r="E463" s="8">
        <v>3.8</v>
      </c>
      <c r="F463" s="8">
        <v>0.0</v>
      </c>
      <c r="G463" s="7">
        <f t="shared" si="1"/>
        <v>17.3</v>
      </c>
      <c r="H463" s="7" t="s">
        <v>14</v>
      </c>
      <c r="I463" s="7" t="s">
        <v>14</v>
      </c>
      <c r="J463" s="8">
        <v>1.0</v>
      </c>
      <c r="K463" s="7" t="s">
        <v>14</v>
      </c>
      <c r="L463" s="8">
        <v>0.0</v>
      </c>
      <c r="Q463" s="11"/>
    </row>
    <row r="464">
      <c r="A464" s="7" t="s">
        <v>474</v>
      </c>
      <c r="B464" s="7" t="s">
        <v>14</v>
      </c>
      <c r="C464" s="7">
        <v>12.39</v>
      </c>
      <c r="D464" s="8">
        <v>0.0</v>
      </c>
      <c r="E464" s="8">
        <v>0.0</v>
      </c>
      <c r="F464" s="8">
        <v>5.0</v>
      </c>
      <c r="G464" s="7">
        <f t="shared" si="1"/>
        <v>17.39</v>
      </c>
      <c r="H464" s="7" t="s">
        <v>14</v>
      </c>
      <c r="I464" s="7" t="s">
        <v>14</v>
      </c>
      <c r="J464" s="8">
        <v>1.0</v>
      </c>
      <c r="K464" s="7" t="s">
        <v>14</v>
      </c>
      <c r="L464" s="8">
        <v>0.0</v>
      </c>
      <c r="Q464" s="11"/>
    </row>
    <row r="465">
      <c r="A465" s="7" t="s">
        <v>475</v>
      </c>
      <c r="B465" s="7" t="s">
        <v>14</v>
      </c>
      <c r="C465" s="7">
        <v>4.7</v>
      </c>
      <c r="D465" s="8">
        <v>0.0</v>
      </c>
      <c r="E465" s="8">
        <v>0.0</v>
      </c>
      <c r="F465" s="8">
        <v>0.0</v>
      </c>
      <c r="G465" s="7">
        <f t="shared" si="1"/>
        <v>4.7</v>
      </c>
      <c r="H465" s="7" t="s">
        <v>14</v>
      </c>
      <c r="I465" s="7" t="s">
        <v>14</v>
      </c>
      <c r="J465" s="8">
        <v>1.0</v>
      </c>
      <c r="K465" s="7" t="s">
        <v>14</v>
      </c>
      <c r="L465" s="8">
        <v>1.0</v>
      </c>
      <c r="Q465" s="11"/>
    </row>
    <row r="466">
      <c r="A466" s="7" t="s">
        <v>476</v>
      </c>
      <c r="B466" s="7" t="s">
        <v>14</v>
      </c>
      <c r="C466" s="8">
        <v>15.9</v>
      </c>
      <c r="D466" s="8">
        <v>15.0</v>
      </c>
      <c r="E466" s="8">
        <v>6.0</v>
      </c>
      <c r="F466" s="8">
        <v>5.0</v>
      </c>
      <c r="G466" s="7">
        <f t="shared" si="1"/>
        <v>41.9</v>
      </c>
      <c r="H466" s="7" t="s">
        <v>14</v>
      </c>
      <c r="I466" s="7" t="s">
        <v>14</v>
      </c>
      <c r="J466" s="8">
        <v>1.0</v>
      </c>
      <c r="K466" s="7" t="s">
        <v>14</v>
      </c>
      <c r="L466" s="8">
        <v>0.0</v>
      </c>
      <c r="Q466" s="11"/>
    </row>
    <row r="467">
      <c r="A467" s="7" t="s">
        <v>477</v>
      </c>
      <c r="B467" s="7" t="s">
        <v>14</v>
      </c>
      <c r="C467" s="8">
        <v>18.0</v>
      </c>
      <c r="D467" s="8">
        <v>15.0</v>
      </c>
      <c r="E467" s="8">
        <v>6.7</v>
      </c>
      <c r="F467" s="8">
        <v>15.0</v>
      </c>
      <c r="G467" s="7">
        <f t="shared" si="1"/>
        <v>54.7</v>
      </c>
      <c r="H467" s="7" t="s">
        <v>14</v>
      </c>
      <c r="I467" s="7" t="s">
        <v>14</v>
      </c>
      <c r="J467" s="8">
        <v>1.0</v>
      </c>
      <c r="K467" s="7" t="s">
        <v>14</v>
      </c>
      <c r="L467" s="8">
        <v>1.0</v>
      </c>
      <c r="Q467" s="11"/>
    </row>
    <row r="468">
      <c r="A468" s="7" t="s">
        <v>478</v>
      </c>
      <c r="B468" s="7" t="s">
        <v>14</v>
      </c>
      <c r="C468" s="7">
        <v>0.0</v>
      </c>
      <c r="D468" s="8">
        <v>0.0</v>
      </c>
      <c r="E468" s="7">
        <v>7.5</v>
      </c>
      <c r="F468" s="8">
        <v>0.0</v>
      </c>
      <c r="G468" s="7">
        <f t="shared" si="1"/>
        <v>7.5</v>
      </c>
      <c r="H468" s="7" t="s">
        <v>14</v>
      </c>
      <c r="I468" s="7" t="s">
        <v>14</v>
      </c>
      <c r="J468" s="8">
        <v>1.0</v>
      </c>
      <c r="K468" s="7" t="s">
        <v>14</v>
      </c>
      <c r="L468" s="8">
        <v>0.0</v>
      </c>
      <c r="Q468" s="11"/>
    </row>
    <row r="469">
      <c r="A469" s="7" t="s">
        <v>479</v>
      </c>
      <c r="B469" s="7" t="s">
        <v>14</v>
      </c>
      <c r="C469" s="7">
        <v>0.0</v>
      </c>
      <c r="D469" s="8">
        <v>0.0</v>
      </c>
      <c r="E469" s="8">
        <v>9.7</v>
      </c>
      <c r="F469" s="8">
        <v>0.0</v>
      </c>
      <c r="G469" s="7">
        <f t="shared" si="1"/>
        <v>9.7</v>
      </c>
      <c r="H469" s="7" t="s">
        <v>14</v>
      </c>
      <c r="I469" s="7" t="s">
        <v>14</v>
      </c>
      <c r="J469" s="8">
        <v>1.0</v>
      </c>
      <c r="K469" s="7" t="s">
        <v>14</v>
      </c>
      <c r="L469" s="8">
        <v>1.0</v>
      </c>
      <c r="Q469" s="11"/>
    </row>
    <row r="470">
      <c r="A470" s="7" t="s">
        <v>480</v>
      </c>
      <c r="B470" s="7" t="s">
        <v>14</v>
      </c>
      <c r="C470" s="7">
        <v>20.0</v>
      </c>
      <c r="D470" s="8">
        <v>15.0</v>
      </c>
      <c r="E470" s="8">
        <v>3.0</v>
      </c>
      <c r="F470" s="8">
        <v>25.0</v>
      </c>
      <c r="G470" s="7">
        <f t="shared" si="1"/>
        <v>63</v>
      </c>
      <c r="H470" s="7" t="s">
        <v>14</v>
      </c>
      <c r="I470" s="7" t="s">
        <v>14</v>
      </c>
      <c r="J470" s="8">
        <v>1.0</v>
      </c>
      <c r="K470" s="7" t="s">
        <v>14</v>
      </c>
      <c r="L470" s="8">
        <v>1.0</v>
      </c>
      <c r="Q470" s="11"/>
    </row>
    <row r="471">
      <c r="A471" s="7" t="s">
        <v>481</v>
      </c>
      <c r="B471" s="7" t="s">
        <v>14</v>
      </c>
      <c r="C471" s="7">
        <v>0.0</v>
      </c>
      <c r="D471" s="8">
        <v>15.0</v>
      </c>
      <c r="E471" s="8">
        <v>3.0</v>
      </c>
      <c r="F471" s="8">
        <v>5.0</v>
      </c>
      <c r="G471" s="7">
        <f t="shared" si="1"/>
        <v>23</v>
      </c>
      <c r="H471" s="7" t="s">
        <v>14</v>
      </c>
      <c r="I471" s="7" t="s">
        <v>14</v>
      </c>
      <c r="J471" s="8">
        <v>0.0</v>
      </c>
      <c r="K471" s="7" t="s">
        <v>14</v>
      </c>
      <c r="L471" s="8">
        <v>1.0</v>
      </c>
      <c r="Q471" s="11"/>
    </row>
    <row r="472">
      <c r="A472" s="7" t="s">
        <v>482</v>
      </c>
      <c r="B472" s="7" t="s">
        <v>14</v>
      </c>
      <c r="C472" s="7">
        <v>0.0</v>
      </c>
      <c r="D472" s="8">
        <v>0.0</v>
      </c>
      <c r="E472" s="8">
        <v>3.0</v>
      </c>
      <c r="F472" s="8">
        <v>5.0</v>
      </c>
      <c r="G472" s="7">
        <f t="shared" si="1"/>
        <v>8</v>
      </c>
      <c r="H472" s="7" t="s">
        <v>14</v>
      </c>
      <c r="I472" s="7" t="s">
        <v>14</v>
      </c>
      <c r="J472" s="8">
        <v>1.0</v>
      </c>
      <c r="K472" s="7" t="s">
        <v>14</v>
      </c>
      <c r="L472" s="8">
        <v>1.0</v>
      </c>
      <c r="Q472" s="11"/>
    </row>
    <row r="473">
      <c r="A473" s="7" t="s">
        <v>483</v>
      </c>
      <c r="B473" s="7" t="s">
        <v>14</v>
      </c>
      <c r="C473" s="8">
        <v>12.0</v>
      </c>
      <c r="D473" s="8">
        <v>0.0</v>
      </c>
      <c r="E473" s="8">
        <v>6.7</v>
      </c>
      <c r="F473" s="8">
        <v>5.0</v>
      </c>
      <c r="G473" s="7">
        <f t="shared" si="1"/>
        <v>23.7</v>
      </c>
      <c r="H473" s="7" t="s">
        <v>14</v>
      </c>
      <c r="I473" s="7" t="s">
        <v>14</v>
      </c>
      <c r="J473" s="8">
        <v>0.0</v>
      </c>
      <c r="K473" s="7" t="s">
        <v>14</v>
      </c>
      <c r="L473" s="8">
        <v>2.0</v>
      </c>
      <c r="Q473" s="11"/>
    </row>
    <row r="474">
      <c r="A474" s="7" t="s">
        <v>484</v>
      </c>
      <c r="B474" s="7" t="s">
        <v>14</v>
      </c>
      <c r="C474" s="7">
        <v>5.3</v>
      </c>
      <c r="D474" s="8">
        <v>15.0</v>
      </c>
      <c r="E474" s="8">
        <v>3.8</v>
      </c>
      <c r="F474" s="8">
        <v>0.0</v>
      </c>
      <c r="G474" s="7">
        <f t="shared" si="1"/>
        <v>24.1</v>
      </c>
      <c r="H474" s="7" t="s">
        <v>14</v>
      </c>
      <c r="I474" s="7" t="s">
        <v>14</v>
      </c>
      <c r="J474" s="8">
        <v>1.0</v>
      </c>
      <c r="K474" s="7" t="s">
        <v>14</v>
      </c>
      <c r="L474" s="8">
        <v>1.0</v>
      </c>
      <c r="Q474" s="11"/>
    </row>
    <row r="475">
      <c r="A475" s="7" t="s">
        <v>485</v>
      </c>
      <c r="B475" s="7" t="s">
        <v>14</v>
      </c>
      <c r="C475" s="7">
        <v>3.0</v>
      </c>
      <c r="D475" s="8">
        <v>15.0</v>
      </c>
      <c r="E475" s="7">
        <v>7.5</v>
      </c>
      <c r="F475" s="8">
        <v>0.0</v>
      </c>
      <c r="G475" s="7">
        <f t="shared" si="1"/>
        <v>25.5</v>
      </c>
      <c r="H475" s="7" t="s">
        <v>14</v>
      </c>
      <c r="I475" s="7" t="s">
        <v>14</v>
      </c>
      <c r="J475" s="8">
        <v>1.0</v>
      </c>
      <c r="K475" s="7" t="s">
        <v>14</v>
      </c>
      <c r="L475" s="8">
        <v>0.0</v>
      </c>
      <c r="Q475" s="11"/>
    </row>
    <row r="476">
      <c r="A476" s="7" t="s">
        <v>486</v>
      </c>
      <c r="B476" s="7" t="s">
        <v>14</v>
      </c>
      <c r="C476" s="7">
        <v>13.0</v>
      </c>
      <c r="D476" s="8">
        <v>15.0</v>
      </c>
      <c r="E476" s="7">
        <v>13.0</v>
      </c>
      <c r="F476" s="8">
        <v>0.0</v>
      </c>
      <c r="G476" s="7">
        <f t="shared" si="1"/>
        <v>41</v>
      </c>
      <c r="H476" s="7" t="s">
        <v>14</v>
      </c>
      <c r="I476" s="7" t="s">
        <v>14</v>
      </c>
      <c r="J476" s="8">
        <v>1.0</v>
      </c>
      <c r="K476" s="7" t="s">
        <v>14</v>
      </c>
      <c r="L476" s="8">
        <v>0.0</v>
      </c>
      <c r="Q476" s="11"/>
    </row>
    <row r="477">
      <c r="A477" s="7" t="s">
        <v>487</v>
      </c>
      <c r="B477" s="7" t="s">
        <v>14</v>
      </c>
      <c r="C477" s="7">
        <v>20.0</v>
      </c>
      <c r="D477" s="8">
        <v>0.0</v>
      </c>
      <c r="E477" s="8">
        <v>5.3</v>
      </c>
      <c r="F477" s="8">
        <v>5.0</v>
      </c>
      <c r="G477" s="7">
        <f t="shared" si="1"/>
        <v>30.3</v>
      </c>
      <c r="H477" s="7" t="s">
        <v>14</v>
      </c>
      <c r="I477" s="7" t="s">
        <v>14</v>
      </c>
      <c r="J477" s="8">
        <v>0.0</v>
      </c>
      <c r="K477" s="7" t="s">
        <v>14</v>
      </c>
      <c r="L477" s="8">
        <v>1.0</v>
      </c>
      <c r="Q477" s="11"/>
    </row>
    <row r="478">
      <c r="A478" s="7" t="s">
        <v>488</v>
      </c>
      <c r="B478" s="7" t="s">
        <v>14</v>
      </c>
      <c r="C478" s="7">
        <v>0.0</v>
      </c>
      <c r="D478" s="8">
        <v>15.0</v>
      </c>
      <c r="E478" s="8">
        <v>0.0</v>
      </c>
      <c r="F478" s="8">
        <v>5.0</v>
      </c>
      <c r="G478" s="7">
        <f t="shared" si="1"/>
        <v>20</v>
      </c>
      <c r="H478" s="7" t="s">
        <v>14</v>
      </c>
      <c r="I478" s="7" t="s">
        <v>14</v>
      </c>
      <c r="J478" s="8">
        <v>0.0</v>
      </c>
      <c r="K478" s="7" t="s">
        <v>14</v>
      </c>
      <c r="L478" s="8">
        <v>1.0</v>
      </c>
      <c r="Q478" s="11"/>
    </row>
    <row r="479">
      <c r="A479" s="7" t="s">
        <v>489</v>
      </c>
      <c r="B479" s="7" t="s">
        <v>14</v>
      </c>
      <c r="C479" s="8">
        <v>18.0</v>
      </c>
      <c r="D479" s="8">
        <v>0.0</v>
      </c>
      <c r="E479" s="8">
        <v>8.2</v>
      </c>
      <c r="F479" s="8">
        <v>5.0</v>
      </c>
      <c r="G479" s="7">
        <f t="shared" si="1"/>
        <v>31.2</v>
      </c>
      <c r="H479" s="7" t="s">
        <v>14</v>
      </c>
      <c r="I479" s="7" t="s">
        <v>14</v>
      </c>
      <c r="J479" s="8">
        <v>1.0</v>
      </c>
      <c r="K479" s="7" t="s">
        <v>14</v>
      </c>
      <c r="L479" s="8">
        <v>0.0</v>
      </c>
      <c r="Q479" s="11"/>
    </row>
    <row r="480">
      <c r="A480" s="7" t="s">
        <v>490</v>
      </c>
      <c r="B480" s="7" t="s">
        <v>14</v>
      </c>
      <c r="C480" s="7">
        <v>0.0</v>
      </c>
      <c r="D480" s="8">
        <v>15.0</v>
      </c>
      <c r="E480" s="8">
        <v>6.0</v>
      </c>
      <c r="F480" s="8">
        <v>0.0</v>
      </c>
      <c r="G480" s="7">
        <f t="shared" si="1"/>
        <v>21</v>
      </c>
      <c r="H480" s="7" t="s">
        <v>14</v>
      </c>
      <c r="I480" s="7" t="s">
        <v>14</v>
      </c>
      <c r="J480" s="8">
        <v>1.0</v>
      </c>
      <c r="K480" s="7" t="s">
        <v>14</v>
      </c>
      <c r="L480" s="8">
        <v>0.0</v>
      </c>
      <c r="Q480" s="11"/>
    </row>
    <row r="481">
      <c r="A481" s="7" t="s">
        <v>491</v>
      </c>
      <c r="B481" s="7" t="s">
        <v>14</v>
      </c>
      <c r="C481" s="8">
        <v>8.7</v>
      </c>
      <c r="D481" s="8">
        <v>15.0</v>
      </c>
      <c r="E481" s="8">
        <v>6.0</v>
      </c>
      <c r="F481" s="8">
        <v>5.0</v>
      </c>
      <c r="G481" s="7">
        <f t="shared" si="1"/>
        <v>34.7</v>
      </c>
      <c r="H481" s="7" t="s">
        <v>14</v>
      </c>
      <c r="I481" s="7" t="s">
        <v>14</v>
      </c>
      <c r="J481" s="8">
        <v>0.0</v>
      </c>
      <c r="K481" s="7" t="s">
        <v>14</v>
      </c>
      <c r="L481" s="8">
        <v>1.0</v>
      </c>
      <c r="Q481" s="11"/>
    </row>
    <row r="482">
      <c r="A482" s="7" t="s">
        <v>492</v>
      </c>
      <c r="B482" s="7" t="s">
        <v>14</v>
      </c>
      <c r="C482" s="7">
        <v>0.0</v>
      </c>
      <c r="D482" s="8">
        <v>15.0</v>
      </c>
      <c r="E482" s="8">
        <v>6.0</v>
      </c>
      <c r="F482" s="8">
        <v>0.0</v>
      </c>
      <c r="G482" s="7">
        <f t="shared" si="1"/>
        <v>21</v>
      </c>
      <c r="H482" s="7" t="s">
        <v>14</v>
      </c>
      <c r="I482" s="7" t="s">
        <v>14</v>
      </c>
      <c r="J482" s="8">
        <v>1.0</v>
      </c>
      <c r="K482" s="7" t="s">
        <v>14</v>
      </c>
      <c r="L482" s="8">
        <v>0.0</v>
      </c>
      <c r="Q482" s="11"/>
    </row>
    <row r="483">
      <c r="A483" s="7" t="s">
        <v>493</v>
      </c>
      <c r="B483" s="7" t="s">
        <v>14</v>
      </c>
      <c r="C483" s="8">
        <v>15.3</v>
      </c>
      <c r="D483" s="8">
        <v>0.0</v>
      </c>
      <c r="E483" s="8">
        <v>3.0</v>
      </c>
      <c r="F483" s="8">
        <v>5.0</v>
      </c>
      <c r="G483" s="7">
        <f t="shared" si="1"/>
        <v>23.3</v>
      </c>
      <c r="H483" s="7" t="s">
        <v>14</v>
      </c>
      <c r="I483" s="7" t="s">
        <v>14</v>
      </c>
      <c r="J483" s="8">
        <v>1.0</v>
      </c>
      <c r="K483" s="7" t="s">
        <v>14</v>
      </c>
      <c r="L483" s="8">
        <v>0.0</v>
      </c>
      <c r="Q483" s="11"/>
    </row>
    <row r="484">
      <c r="A484" s="7" t="s">
        <v>494</v>
      </c>
      <c r="B484" s="7" t="s">
        <v>14</v>
      </c>
      <c r="C484" s="7">
        <v>20.0</v>
      </c>
      <c r="D484" s="8">
        <v>15.0</v>
      </c>
      <c r="E484" s="8">
        <v>5.3</v>
      </c>
      <c r="F484" s="8">
        <v>5.0</v>
      </c>
      <c r="G484" s="7">
        <f t="shared" si="1"/>
        <v>45.3</v>
      </c>
      <c r="H484" s="7" t="s">
        <v>14</v>
      </c>
      <c r="I484" s="7" t="s">
        <v>14</v>
      </c>
      <c r="J484" s="8">
        <v>1.0</v>
      </c>
      <c r="K484" s="7" t="s">
        <v>14</v>
      </c>
      <c r="L484" s="8">
        <v>0.0</v>
      </c>
      <c r="Q484" s="11"/>
    </row>
    <row r="485">
      <c r="A485" s="7" t="s">
        <v>495</v>
      </c>
      <c r="B485" s="7" t="s">
        <v>14</v>
      </c>
      <c r="C485" s="7">
        <v>0.0</v>
      </c>
      <c r="D485" s="8">
        <v>15.0</v>
      </c>
      <c r="E485" s="8">
        <v>0.0</v>
      </c>
      <c r="F485" s="8">
        <v>0.0</v>
      </c>
      <c r="G485" s="7">
        <f t="shared" si="1"/>
        <v>15</v>
      </c>
      <c r="H485" s="7" t="s">
        <v>14</v>
      </c>
      <c r="I485" s="7" t="s">
        <v>14</v>
      </c>
      <c r="J485" s="8">
        <v>1.0</v>
      </c>
      <c r="K485" s="7" t="s">
        <v>14</v>
      </c>
      <c r="L485" s="8">
        <v>1.0</v>
      </c>
      <c r="Q485" s="11"/>
    </row>
    <row r="486">
      <c r="A486" s="7" t="s">
        <v>496</v>
      </c>
      <c r="B486" s="7" t="s">
        <v>14</v>
      </c>
      <c r="C486" s="7">
        <v>0.0</v>
      </c>
      <c r="D486" s="8">
        <v>0.0</v>
      </c>
      <c r="E486" s="8">
        <v>0.0</v>
      </c>
      <c r="F486" s="8">
        <v>0.0</v>
      </c>
      <c r="G486" s="7">
        <f t="shared" si="1"/>
        <v>0</v>
      </c>
      <c r="H486" s="7" t="s">
        <v>14</v>
      </c>
      <c r="I486" s="7" t="s">
        <v>14</v>
      </c>
      <c r="J486" s="8">
        <v>0.0</v>
      </c>
      <c r="K486" s="7" t="s">
        <v>14</v>
      </c>
      <c r="L486" s="8">
        <v>1.0</v>
      </c>
      <c r="Q486" s="11"/>
    </row>
    <row r="487">
      <c r="A487" s="7" t="s">
        <v>497</v>
      </c>
      <c r="B487" s="7" t="s">
        <v>14</v>
      </c>
      <c r="C487" s="7">
        <v>8.0</v>
      </c>
      <c r="D487" s="8">
        <v>0.0</v>
      </c>
      <c r="E487" s="8">
        <v>12.0</v>
      </c>
      <c r="F487" s="8">
        <v>0.0</v>
      </c>
      <c r="G487" s="7">
        <f t="shared" si="1"/>
        <v>20</v>
      </c>
      <c r="H487" s="7" t="s">
        <v>14</v>
      </c>
      <c r="I487" s="7" t="s">
        <v>14</v>
      </c>
      <c r="J487" s="8">
        <v>0.0</v>
      </c>
      <c r="K487" s="7" t="s">
        <v>14</v>
      </c>
      <c r="L487" s="8">
        <v>1.0</v>
      </c>
      <c r="Q487" s="11"/>
    </row>
    <row r="488">
      <c r="A488" s="7" t="s">
        <v>498</v>
      </c>
      <c r="B488" s="7" t="s">
        <v>14</v>
      </c>
      <c r="C488" s="7">
        <v>6.0</v>
      </c>
      <c r="D488" s="8">
        <v>0.0</v>
      </c>
      <c r="E488" s="7">
        <v>7.0</v>
      </c>
      <c r="F488" s="8">
        <v>0.0</v>
      </c>
      <c r="G488" s="7">
        <f t="shared" si="1"/>
        <v>13</v>
      </c>
      <c r="H488" s="7" t="s">
        <v>14</v>
      </c>
      <c r="I488" s="7" t="s">
        <v>14</v>
      </c>
      <c r="J488" s="8">
        <v>0.0</v>
      </c>
      <c r="K488" s="7" t="s">
        <v>14</v>
      </c>
      <c r="L488" s="8">
        <v>1.0</v>
      </c>
      <c r="Q488" s="11"/>
    </row>
    <row r="489">
      <c r="A489" s="7" t="s">
        <v>499</v>
      </c>
      <c r="B489" s="7" t="s">
        <v>14</v>
      </c>
      <c r="C489" s="8">
        <v>17.3</v>
      </c>
      <c r="D489" s="8">
        <v>15.0</v>
      </c>
      <c r="E489" s="8">
        <v>0.8</v>
      </c>
      <c r="F489" s="8">
        <v>5.0</v>
      </c>
      <c r="G489" s="7">
        <f t="shared" si="1"/>
        <v>38.1</v>
      </c>
      <c r="H489" s="7" t="s">
        <v>14</v>
      </c>
      <c r="I489" s="7" t="s">
        <v>14</v>
      </c>
      <c r="J489" s="8">
        <v>1.0</v>
      </c>
      <c r="K489" s="7" t="s">
        <v>14</v>
      </c>
      <c r="L489" s="8">
        <v>0.0</v>
      </c>
      <c r="Q489" s="11"/>
    </row>
    <row r="490">
      <c r="A490" s="7" t="s">
        <v>500</v>
      </c>
      <c r="B490" s="7" t="s">
        <v>14</v>
      </c>
      <c r="C490" s="7">
        <v>13.0</v>
      </c>
      <c r="D490" s="8">
        <v>15.0</v>
      </c>
      <c r="E490" s="8">
        <v>7.5</v>
      </c>
      <c r="F490" s="8">
        <v>5.0</v>
      </c>
      <c r="G490" s="7">
        <f t="shared" si="1"/>
        <v>40.5</v>
      </c>
      <c r="H490" s="7" t="s">
        <v>14</v>
      </c>
      <c r="I490" s="7" t="s">
        <v>14</v>
      </c>
      <c r="J490" s="8">
        <v>1.0</v>
      </c>
      <c r="K490" s="7" t="s">
        <v>14</v>
      </c>
      <c r="L490" s="8">
        <v>0.0</v>
      </c>
      <c r="Q490" s="11"/>
    </row>
    <row r="491">
      <c r="A491" s="7" t="s">
        <v>501</v>
      </c>
      <c r="B491" s="7" t="s">
        <v>14</v>
      </c>
      <c r="C491" s="7">
        <v>3.0</v>
      </c>
      <c r="D491" s="8">
        <v>0.0</v>
      </c>
      <c r="E491" s="8">
        <v>0.0</v>
      </c>
      <c r="F491" s="8">
        <v>5.0</v>
      </c>
      <c r="G491" s="7">
        <f t="shared" si="1"/>
        <v>8</v>
      </c>
      <c r="H491" s="7" t="s">
        <v>14</v>
      </c>
      <c r="I491" s="7" t="s">
        <v>14</v>
      </c>
      <c r="J491" s="8">
        <v>0.0</v>
      </c>
      <c r="K491" s="7" t="s">
        <v>14</v>
      </c>
      <c r="L491" s="8">
        <v>1.0</v>
      </c>
      <c r="Q491" s="11"/>
    </row>
    <row r="492">
      <c r="A492" s="7" t="s">
        <v>502</v>
      </c>
      <c r="B492" s="7" t="s">
        <v>14</v>
      </c>
      <c r="C492" s="8">
        <v>15.1</v>
      </c>
      <c r="D492" s="8">
        <v>0.0</v>
      </c>
      <c r="E492" s="8">
        <v>0.0</v>
      </c>
      <c r="F492" s="8">
        <v>0.0</v>
      </c>
      <c r="G492" s="7">
        <f t="shared" si="1"/>
        <v>15.1</v>
      </c>
      <c r="H492" s="7" t="s">
        <v>14</v>
      </c>
      <c r="I492" s="7" t="s">
        <v>14</v>
      </c>
      <c r="J492" s="8">
        <v>1.0</v>
      </c>
      <c r="K492" s="7" t="s">
        <v>14</v>
      </c>
      <c r="L492" s="8">
        <v>0.0</v>
      </c>
      <c r="Q492" s="11"/>
    </row>
    <row r="493">
      <c r="A493" s="7" t="s">
        <v>503</v>
      </c>
      <c r="B493" s="7" t="s">
        <v>14</v>
      </c>
      <c r="C493" s="8">
        <v>18.3</v>
      </c>
      <c r="D493" s="8">
        <v>15.0</v>
      </c>
      <c r="E493" s="8">
        <v>3.8</v>
      </c>
      <c r="F493" s="8">
        <v>5.0</v>
      </c>
      <c r="G493" s="7">
        <f t="shared" si="1"/>
        <v>42.1</v>
      </c>
      <c r="H493" s="7" t="s">
        <v>14</v>
      </c>
      <c r="I493" s="7" t="s">
        <v>14</v>
      </c>
      <c r="J493" s="8">
        <v>1.0</v>
      </c>
      <c r="K493" s="7" t="s">
        <v>14</v>
      </c>
      <c r="L493" s="8">
        <v>1.0</v>
      </c>
      <c r="Q493" s="11"/>
    </row>
    <row r="494">
      <c r="A494" s="7" t="s">
        <v>504</v>
      </c>
      <c r="B494" s="7" t="s">
        <v>14</v>
      </c>
      <c r="C494" s="7">
        <v>11.0</v>
      </c>
      <c r="D494" s="8">
        <v>15.0</v>
      </c>
      <c r="E494" s="8">
        <v>5.3</v>
      </c>
      <c r="F494" s="8">
        <v>0.0</v>
      </c>
      <c r="G494" s="7">
        <f t="shared" si="1"/>
        <v>31.3</v>
      </c>
      <c r="H494" s="7" t="s">
        <v>14</v>
      </c>
      <c r="I494" s="7" t="s">
        <v>14</v>
      </c>
      <c r="J494" s="8">
        <v>1.0</v>
      </c>
      <c r="K494" s="7" t="s">
        <v>14</v>
      </c>
      <c r="L494" s="8">
        <v>0.0</v>
      </c>
      <c r="Q494" s="11"/>
    </row>
    <row r="495">
      <c r="A495" s="7" t="s">
        <v>505</v>
      </c>
      <c r="B495" s="7" t="s">
        <v>14</v>
      </c>
      <c r="C495" s="8">
        <v>-1.0</v>
      </c>
      <c r="D495" s="8">
        <v>15.0</v>
      </c>
      <c r="E495" s="8">
        <v>7.5</v>
      </c>
      <c r="F495" s="8">
        <v>5.0</v>
      </c>
      <c r="G495" s="7" t="str">
        <f t="shared" si="1"/>
        <v>needs update</v>
      </c>
      <c r="H495" s="7" t="s">
        <v>14</v>
      </c>
      <c r="I495" s="7" t="s">
        <v>14</v>
      </c>
      <c r="J495" s="8">
        <v>1.0</v>
      </c>
      <c r="K495" s="7" t="s">
        <v>14</v>
      </c>
      <c r="L495" s="8">
        <v>1.0</v>
      </c>
      <c r="Q495" s="11"/>
    </row>
    <row r="496">
      <c r="A496" s="7" t="s">
        <v>506</v>
      </c>
      <c r="B496" s="7" t="s">
        <v>14</v>
      </c>
      <c r="C496" s="8">
        <v>13.2</v>
      </c>
      <c r="D496" s="8">
        <v>0.0</v>
      </c>
      <c r="E496" s="8">
        <v>6.7</v>
      </c>
      <c r="F496" s="8">
        <v>0.0</v>
      </c>
      <c r="G496" s="7">
        <f t="shared" si="1"/>
        <v>19.9</v>
      </c>
      <c r="H496" s="7" t="s">
        <v>14</v>
      </c>
      <c r="I496" s="7" t="s">
        <v>14</v>
      </c>
      <c r="J496" s="8">
        <v>1.0</v>
      </c>
      <c r="K496" s="7" t="s">
        <v>14</v>
      </c>
      <c r="L496" s="8">
        <v>0.0</v>
      </c>
      <c r="Q496" s="11"/>
    </row>
    <row r="497">
      <c r="A497" s="7" t="s">
        <v>507</v>
      </c>
      <c r="B497" s="7" t="s">
        <v>14</v>
      </c>
      <c r="C497" s="8">
        <v>-1.0</v>
      </c>
      <c r="D497" s="8">
        <v>15.0</v>
      </c>
      <c r="E497" s="8">
        <v>6.7</v>
      </c>
      <c r="F497" s="8">
        <v>5.0</v>
      </c>
      <c r="G497" s="7" t="str">
        <f t="shared" si="1"/>
        <v>needs update</v>
      </c>
      <c r="H497" s="7" t="s">
        <v>14</v>
      </c>
      <c r="I497" s="7" t="s">
        <v>14</v>
      </c>
      <c r="J497" s="8">
        <v>1.0</v>
      </c>
      <c r="K497" s="7" t="s">
        <v>14</v>
      </c>
      <c r="L497" s="8">
        <v>1.0</v>
      </c>
      <c r="Q497" s="11"/>
    </row>
    <row r="498">
      <c r="A498" s="7" t="s">
        <v>508</v>
      </c>
      <c r="B498" s="7" t="s">
        <v>14</v>
      </c>
      <c r="C498" s="8">
        <v>8.0</v>
      </c>
      <c r="D498" s="8">
        <v>15.0</v>
      </c>
      <c r="E498" s="8">
        <v>5.3</v>
      </c>
      <c r="F498" s="8">
        <v>0.0</v>
      </c>
      <c r="G498" s="7">
        <f t="shared" si="1"/>
        <v>28.3</v>
      </c>
      <c r="H498" s="7" t="s">
        <v>14</v>
      </c>
      <c r="I498" s="7" t="s">
        <v>14</v>
      </c>
      <c r="J498" s="8">
        <v>1.0</v>
      </c>
      <c r="K498" s="7" t="s">
        <v>14</v>
      </c>
      <c r="L498" s="8">
        <v>0.0</v>
      </c>
      <c r="Q498" s="11"/>
    </row>
    <row r="499">
      <c r="A499" s="7" t="s">
        <v>509</v>
      </c>
      <c r="B499" s="7" t="s">
        <v>14</v>
      </c>
      <c r="C499" s="8">
        <v>-1.0</v>
      </c>
      <c r="D499" s="8">
        <v>15.0</v>
      </c>
      <c r="E499" s="8">
        <v>8.2</v>
      </c>
      <c r="F499" s="8">
        <v>0.0</v>
      </c>
      <c r="G499" s="7" t="str">
        <f t="shared" si="1"/>
        <v>needs update</v>
      </c>
      <c r="H499" s="7" t="s">
        <v>14</v>
      </c>
      <c r="I499" s="7" t="s">
        <v>14</v>
      </c>
      <c r="J499" s="8">
        <v>1.0</v>
      </c>
      <c r="K499" s="7" t="s">
        <v>14</v>
      </c>
      <c r="L499" s="8">
        <v>0.0</v>
      </c>
      <c r="Q499" s="11"/>
    </row>
    <row r="500">
      <c r="A500" s="7" t="s">
        <v>510</v>
      </c>
      <c r="B500" s="7" t="s">
        <v>14</v>
      </c>
      <c r="C500" s="8">
        <v>-1.0</v>
      </c>
      <c r="D500" s="8">
        <v>0.0</v>
      </c>
      <c r="E500" s="8">
        <v>0.8</v>
      </c>
      <c r="F500" s="8">
        <v>0.0</v>
      </c>
      <c r="G500" s="7" t="str">
        <f t="shared" si="1"/>
        <v>needs update</v>
      </c>
      <c r="H500" s="7" t="s">
        <v>14</v>
      </c>
      <c r="I500" s="7" t="s">
        <v>14</v>
      </c>
      <c r="J500" s="8">
        <v>0.0</v>
      </c>
      <c r="K500" s="7" t="s">
        <v>14</v>
      </c>
      <c r="L500" s="8">
        <v>1.0</v>
      </c>
      <c r="Q500" s="11"/>
    </row>
    <row r="501">
      <c r="A501" s="7" t="s">
        <v>511</v>
      </c>
      <c r="B501" s="7" t="s">
        <v>14</v>
      </c>
      <c r="C501" s="8">
        <v>-1.0</v>
      </c>
      <c r="D501" s="8">
        <v>0.0</v>
      </c>
      <c r="E501" s="8">
        <v>9.7</v>
      </c>
      <c r="F501" s="8">
        <v>0.0</v>
      </c>
      <c r="G501" s="7" t="str">
        <f t="shared" si="1"/>
        <v>needs update</v>
      </c>
      <c r="H501" s="7" t="s">
        <v>14</v>
      </c>
      <c r="I501" s="7" t="s">
        <v>14</v>
      </c>
      <c r="J501" s="8">
        <v>0.0</v>
      </c>
      <c r="K501" s="7" t="s">
        <v>14</v>
      </c>
      <c r="L501" s="8">
        <v>1.0</v>
      </c>
      <c r="Q501" s="11"/>
    </row>
    <row r="502">
      <c r="A502" s="7" t="s">
        <v>512</v>
      </c>
      <c r="B502" s="7" t="s">
        <v>14</v>
      </c>
      <c r="C502" s="8">
        <v>-1.0</v>
      </c>
      <c r="D502" s="8">
        <v>15.0</v>
      </c>
      <c r="E502" s="8">
        <v>0.0</v>
      </c>
      <c r="F502" s="8">
        <v>5.0</v>
      </c>
      <c r="G502" s="7" t="str">
        <f t="shared" si="1"/>
        <v>needs update</v>
      </c>
      <c r="H502" s="7" t="s">
        <v>14</v>
      </c>
      <c r="I502" s="7" t="s">
        <v>14</v>
      </c>
      <c r="J502" s="8">
        <v>1.0</v>
      </c>
      <c r="K502" s="7" t="s">
        <v>14</v>
      </c>
      <c r="L502" s="8">
        <v>0.0</v>
      </c>
      <c r="Q502" s="11"/>
    </row>
    <row r="503">
      <c r="A503" s="7" t="s">
        <v>513</v>
      </c>
      <c r="B503" s="7" t="s">
        <v>14</v>
      </c>
      <c r="C503" s="8">
        <v>-1.0</v>
      </c>
      <c r="D503" s="8">
        <v>15.0</v>
      </c>
      <c r="E503" s="8">
        <v>7.5</v>
      </c>
      <c r="F503" s="8">
        <v>0.0</v>
      </c>
      <c r="G503" s="7" t="str">
        <f t="shared" si="1"/>
        <v>needs update</v>
      </c>
      <c r="H503" s="7" t="s">
        <v>14</v>
      </c>
      <c r="I503" s="7" t="s">
        <v>14</v>
      </c>
      <c r="J503" s="8">
        <v>1.0</v>
      </c>
      <c r="K503" s="7" t="s">
        <v>14</v>
      </c>
      <c r="L503" s="8">
        <v>0.0</v>
      </c>
      <c r="Q503" s="11"/>
    </row>
    <row r="504">
      <c r="A504" s="7" t="s">
        <v>514</v>
      </c>
      <c r="B504" s="7" t="s">
        <v>14</v>
      </c>
      <c r="C504" s="8">
        <v>-1.0</v>
      </c>
      <c r="D504" s="8">
        <v>15.0</v>
      </c>
      <c r="E504" s="8">
        <v>0.0</v>
      </c>
      <c r="F504" s="8">
        <v>5.0</v>
      </c>
      <c r="G504" s="7" t="str">
        <f t="shared" si="1"/>
        <v>needs update</v>
      </c>
      <c r="H504" s="7" t="s">
        <v>14</v>
      </c>
      <c r="I504" s="7" t="s">
        <v>14</v>
      </c>
      <c r="J504" s="8">
        <v>1.0</v>
      </c>
      <c r="K504" s="7" t="s">
        <v>14</v>
      </c>
      <c r="L504" s="8">
        <v>1.0</v>
      </c>
      <c r="Q504" s="11"/>
    </row>
    <row r="505">
      <c r="A505" s="7" t="s">
        <v>515</v>
      </c>
      <c r="B505" s="7" t="s">
        <v>14</v>
      </c>
      <c r="C505" s="8">
        <v>20.0</v>
      </c>
      <c r="D505" s="8">
        <v>0.0</v>
      </c>
      <c r="E505" s="8">
        <v>6.0</v>
      </c>
      <c r="F505" s="8">
        <v>0.0</v>
      </c>
      <c r="G505" s="7">
        <f t="shared" si="1"/>
        <v>26</v>
      </c>
      <c r="H505" s="7" t="s">
        <v>14</v>
      </c>
      <c r="I505" s="7" t="s">
        <v>14</v>
      </c>
      <c r="J505" s="8">
        <v>0.0</v>
      </c>
      <c r="K505" s="7" t="s">
        <v>14</v>
      </c>
      <c r="L505" s="8">
        <v>1.0</v>
      </c>
      <c r="Q505" s="11"/>
    </row>
    <row r="506">
      <c r="A506" s="7" t="s">
        <v>516</v>
      </c>
      <c r="B506" s="7" t="s">
        <v>14</v>
      </c>
      <c r="C506" s="8">
        <v>-1.0</v>
      </c>
      <c r="D506" s="8">
        <v>15.0</v>
      </c>
      <c r="E506" s="8">
        <v>4.5</v>
      </c>
      <c r="F506" s="8">
        <v>0.0</v>
      </c>
      <c r="G506" s="7" t="str">
        <f t="shared" si="1"/>
        <v>needs update</v>
      </c>
      <c r="H506" s="7" t="s">
        <v>14</v>
      </c>
      <c r="I506" s="7" t="s">
        <v>14</v>
      </c>
      <c r="J506" s="8">
        <v>1.0</v>
      </c>
      <c r="K506" s="7" t="s">
        <v>14</v>
      </c>
      <c r="L506" s="8">
        <v>0.0</v>
      </c>
      <c r="Q506" s="11"/>
    </row>
    <row r="507">
      <c r="A507" s="7" t="s">
        <v>505</v>
      </c>
      <c r="B507" s="7" t="s">
        <v>14</v>
      </c>
      <c r="C507" s="8">
        <v>-1.0</v>
      </c>
      <c r="D507" s="8">
        <v>15.0</v>
      </c>
      <c r="E507" s="8">
        <v>7.5</v>
      </c>
      <c r="F507" s="8">
        <v>5.0</v>
      </c>
      <c r="G507" s="7" t="str">
        <f t="shared" si="1"/>
        <v>needs update</v>
      </c>
      <c r="H507" s="7" t="s">
        <v>14</v>
      </c>
      <c r="I507" s="7" t="s">
        <v>14</v>
      </c>
      <c r="J507" s="8">
        <v>1.0</v>
      </c>
      <c r="K507" s="7" t="s">
        <v>14</v>
      </c>
      <c r="L507" s="8">
        <v>1.0</v>
      </c>
      <c r="Q507" s="11"/>
    </row>
    <row r="508">
      <c r="A508" s="7" t="s">
        <v>506</v>
      </c>
      <c r="B508" s="7" t="s">
        <v>14</v>
      </c>
      <c r="C508" s="8">
        <v>13.2</v>
      </c>
      <c r="D508" s="8">
        <v>0.0</v>
      </c>
      <c r="E508" s="8">
        <v>6.0</v>
      </c>
      <c r="F508" s="8">
        <v>0.0</v>
      </c>
      <c r="G508" s="7">
        <f t="shared" si="1"/>
        <v>19.2</v>
      </c>
      <c r="H508" s="7" t="s">
        <v>14</v>
      </c>
      <c r="I508" s="7" t="s">
        <v>14</v>
      </c>
      <c r="J508" s="8">
        <v>1.0</v>
      </c>
      <c r="K508" s="7" t="s">
        <v>14</v>
      </c>
      <c r="L508" s="8">
        <v>0.0</v>
      </c>
      <c r="Q508" s="11"/>
    </row>
    <row r="509">
      <c r="A509" s="7" t="s">
        <v>507</v>
      </c>
      <c r="B509" s="7" t="s">
        <v>14</v>
      </c>
      <c r="C509" s="8">
        <v>-1.0</v>
      </c>
      <c r="D509" s="8">
        <v>15.0</v>
      </c>
      <c r="E509" s="8">
        <v>7.5</v>
      </c>
      <c r="F509" s="8">
        <v>5.0</v>
      </c>
      <c r="G509" s="7" t="str">
        <f t="shared" si="1"/>
        <v>needs update</v>
      </c>
      <c r="H509" s="7" t="s">
        <v>14</v>
      </c>
      <c r="I509" s="7" t="s">
        <v>14</v>
      </c>
      <c r="J509" s="8">
        <v>1.0</v>
      </c>
      <c r="K509" s="7" t="s">
        <v>14</v>
      </c>
      <c r="L509" s="8">
        <v>1.0</v>
      </c>
      <c r="Q509" s="11"/>
    </row>
    <row r="510">
      <c r="A510" s="7" t="s">
        <v>508</v>
      </c>
      <c r="B510" s="7" t="s">
        <v>14</v>
      </c>
      <c r="C510" s="8">
        <v>8.0</v>
      </c>
      <c r="D510" s="8">
        <v>15.0</v>
      </c>
      <c r="E510" s="8">
        <v>8.2</v>
      </c>
      <c r="F510" s="8">
        <v>0.0</v>
      </c>
      <c r="G510" s="7">
        <f t="shared" si="1"/>
        <v>31.2</v>
      </c>
      <c r="H510" s="7" t="s">
        <v>14</v>
      </c>
      <c r="I510" s="7" t="s">
        <v>14</v>
      </c>
      <c r="J510" s="8">
        <v>1.0</v>
      </c>
      <c r="K510" s="7" t="s">
        <v>14</v>
      </c>
      <c r="L510" s="8">
        <v>0.0</v>
      </c>
      <c r="Q510" s="11"/>
    </row>
    <row r="511">
      <c r="A511" s="7" t="s">
        <v>509</v>
      </c>
      <c r="B511" s="7" t="s">
        <v>14</v>
      </c>
      <c r="C511" s="8">
        <v>-1.0</v>
      </c>
      <c r="D511" s="8">
        <v>15.0</v>
      </c>
      <c r="E511" s="8">
        <v>9.0</v>
      </c>
      <c r="F511" s="8">
        <v>0.0</v>
      </c>
      <c r="G511" s="7" t="str">
        <f t="shared" si="1"/>
        <v>needs update</v>
      </c>
      <c r="H511" s="7" t="s">
        <v>14</v>
      </c>
      <c r="I511" s="7" t="s">
        <v>14</v>
      </c>
      <c r="J511" s="8">
        <v>1.0</v>
      </c>
      <c r="K511" s="7" t="s">
        <v>14</v>
      </c>
      <c r="L511" s="8">
        <v>0.0</v>
      </c>
      <c r="Q511" s="11"/>
    </row>
    <row r="512">
      <c r="A512" s="7" t="s">
        <v>505</v>
      </c>
      <c r="B512" s="7" t="s">
        <v>14</v>
      </c>
      <c r="C512" s="8">
        <v>-1.0</v>
      </c>
      <c r="D512" s="8">
        <v>15.0</v>
      </c>
      <c r="E512" s="8">
        <v>7.5</v>
      </c>
      <c r="F512" s="8">
        <v>5.0</v>
      </c>
      <c r="G512" s="7" t="str">
        <f t="shared" si="1"/>
        <v>needs update</v>
      </c>
      <c r="H512" s="7" t="s">
        <v>14</v>
      </c>
      <c r="I512" s="7" t="s">
        <v>14</v>
      </c>
      <c r="J512" s="8">
        <v>1.0</v>
      </c>
      <c r="K512" s="7" t="s">
        <v>14</v>
      </c>
      <c r="L512" s="8">
        <v>1.0</v>
      </c>
      <c r="Q512" s="11"/>
    </row>
    <row r="513">
      <c r="A513" s="7" t="s">
        <v>506</v>
      </c>
      <c r="B513" s="7" t="s">
        <v>14</v>
      </c>
      <c r="C513" s="8">
        <v>13.2</v>
      </c>
      <c r="D513" s="8">
        <v>0.0</v>
      </c>
      <c r="E513" s="8">
        <v>6.0</v>
      </c>
      <c r="F513" s="8">
        <v>0.0</v>
      </c>
      <c r="G513" s="7">
        <f t="shared" si="1"/>
        <v>19.2</v>
      </c>
      <c r="H513" s="7" t="s">
        <v>14</v>
      </c>
      <c r="I513" s="7" t="s">
        <v>14</v>
      </c>
      <c r="J513" s="8">
        <v>1.0</v>
      </c>
      <c r="K513" s="7" t="s">
        <v>14</v>
      </c>
      <c r="L513" s="8">
        <v>0.0</v>
      </c>
      <c r="Q513" s="11"/>
    </row>
    <row r="514">
      <c r="A514" s="7" t="s">
        <v>507</v>
      </c>
      <c r="B514" s="7" t="s">
        <v>14</v>
      </c>
      <c r="C514" s="8">
        <v>-1.0</v>
      </c>
      <c r="D514" s="8">
        <v>15.0</v>
      </c>
      <c r="E514" s="8">
        <v>7.5</v>
      </c>
      <c r="F514" s="8">
        <v>5.0</v>
      </c>
      <c r="G514" s="7" t="str">
        <f t="shared" si="1"/>
        <v>needs update</v>
      </c>
      <c r="H514" s="7" t="s">
        <v>14</v>
      </c>
      <c r="I514" s="7" t="s">
        <v>14</v>
      </c>
      <c r="J514" s="8">
        <v>1.0</v>
      </c>
      <c r="K514" s="7" t="s">
        <v>14</v>
      </c>
      <c r="L514" s="8">
        <v>1.0</v>
      </c>
      <c r="Q514" s="11"/>
    </row>
    <row r="515">
      <c r="A515" s="7" t="s">
        <v>508</v>
      </c>
      <c r="B515" s="7" t="s">
        <v>14</v>
      </c>
      <c r="C515" s="8">
        <v>8.0</v>
      </c>
      <c r="D515" s="8">
        <v>15.0</v>
      </c>
      <c r="E515" s="8">
        <v>8.2</v>
      </c>
      <c r="F515" s="8">
        <v>0.0</v>
      </c>
      <c r="G515" s="7">
        <f t="shared" si="1"/>
        <v>31.2</v>
      </c>
      <c r="H515" s="7" t="s">
        <v>14</v>
      </c>
      <c r="I515" s="7" t="s">
        <v>14</v>
      </c>
      <c r="J515" s="8">
        <v>1.0</v>
      </c>
      <c r="K515" s="7" t="s">
        <v>14</v>
      </c>
      <c r="L515" s="8">
        <v>0.0</v>
      </c>
      <c r="Q515" s="11"/>
    </row>
    <row r="516">
      <c r="A516" s="7" t="s">
        <v>509</v>
      </c>
      <c r="B516" s="7" t="s">
        <v>14</v>
      </c>
      <c r="C516" s="8">
        <v>-1.0</v>
      </c>
      <c r="D516" s="8">
        <v>15.0</v>
      </c>
      <c r="E516" s="8">
        <v>9.0</v>
      </c>
      <c r="F516" s="8">
        <v>0.0</v>
      </c>
      <c r="G516" s="7" t="str">
        <f t="shared" si="1"/>
        <v>needs update</v>
      </c>
      <c r="H516" s="7" t="s">
        <v>14</v>
      </c>
      <c r="I516" s="7" t="s">
        <v>14</v>
      </c>
      <c r="J516" s="8">
        <v>1.0</v>
      </c>
      <c r="K516" s="7" t="s">
        <v>14</v>
      </c>
      <c r="L516" s="8">
        <v>0.0</v>
      </c>
      <c r="Q516" s="11"/>
    </row>
    <row r="517">
      <c r="A517" s="7" t="s">
        <v>510</v>
      </c>
      <c r="B517" s="7" t="s">
        <v>14</v>
      </c>
      <c r="C517" s="8">
        <v>-1.0</v>
      </c>
      <c r="D517" s="8">
        <v>0.0</v>
      </c>
      <c r="E517" s="8">
        <v>5.3</v>
      </c>
      <c r="F517" s="8">
        <v>0.0</v>
      </c>
      <c r="G517" s="7" t="str">
        <f t="shared" si="1"/>
        <v>needs update</v>
      </c>
      <c r="H517" s="7" t="s">
        <v>14</v>
      </c>
      <c r="I517" s="7" t="s">
        <v>14</v>
      </c>
      <c r="J517" s="8">
        <v>0.0</v>
      </c>
      <c r="K517" s="7" t="s">
        <v>14</v>
      </c>
      <c r="L517" s="8">
        <v>1.0</v>
      </c>
      <c r="Q517" s="11"/>
    </row>
    <row r="518">
      <c r="A518" s="7" t="s">
        <v>511</v>
      </c>
      <c r="B518" s="7" t="s">
        <v>14</v>
      </c>
      <c r="C518" s="8">
        <v>-1.0</v>
      </c>
      <c r="D518" s="8">
        <v>0.0</v>
      </c>
      <c r="E518" s="8">
        <v>9.7</v>
      </c>
      <c r="F518" s="8">
        <v>0.0</v>
      </c>
      <c r="G518" s="7" t="str">
        <f t="shared" si="1"/>
        <v>needs update</v>
      </c>
      <c r="H518" s="7" t="s">
        <v>14</v>
      </c>
      <c r="I518" s="7" t="s">
        <v>14</v>
      </c>
      <c r="J518" s="8">
        <v>0.0</v>
      </c>
      <c r="K518" s="7" t="s">
        <v>14</v>
      </c>
      <c r="L518" s="8">
        <v>1.0</v>
      </c>
      <c r="Q518" s="11"/>
    </row>
    <row r="519">
      <c r="A519" s="7" t="s">
        <v>512</v>
      </c>
      <c r="B519" s="7" t="s">
        <v>14</v>
      </c>
      <c r="C519" s="8">
        <v>-1.0</v>
      </c>
      <c r="D519" s="8">
        <v>15.0</v>
      </c>
      <c r="E519" s="8">
        <v>0.0</v>
      </c>
      <c r="F519" s="8">
        <v>5.0</v>
      </c>
      <c r="G519" s="7" t="str">
        <f t="shared" si="1"/>
        <v>needs update</v>
      </c>
      <c r="H519" s="7" t="s">
        <v>14</v>
      </c>
      <c r="I519" s="7" t="s">
        <v>14</v>
      </c>
      <c r="J519" s="8">
        <v>1.0</v>
      </c>
      <c r="K519" s="7" t="s">
        <v>14</v>
      </c>
      <c r="L519" s="8">
        <v>0.0</v>
      </c>
      <c r="Q519" s="11"/>
    </row>
    <row r="520">
      <c r="A520" s="7" t="s">
        <v>513</v>
      </c>
      <c r="B520" s="7" t="s">
        <v>14</v>
      </c>
      <c r="C520" s="8">
        <v>-1.0</v>
      </c>
      <c r="D520" s="8">
        <v>15.0</v>
      </c>
      <c r="E520" s="8">
        <v>10.5</v>
      </c>
      <c r="F520" s="8">
        <v>0.0</v>
      </c>
      <c r="G520" s="7" t="str">
        <f t="shared" si="1"/>
        <v>needs update</v>
      </c>
      <c r="H520" s="7" t="s">
        <v>14</v>
      </c>
      <c r="I520" s="7" t="s">
        <v>14</v>
      </c>
      <c r="J520" s="8">
        <v>1.0</v>
      </c>
      <c r="K520" s="7" t="s">
        <v>14</v>
      </c>
      <c r="L520" s="8">
        <v>0.0</v>
      </c>
      <c r="Q520" s="11"/>
    </row>
    <row r="521">
      <c r="A521" s="7" t="s">
        <v>514</v>
      </c>
      <c r="B521" s="7" t="s">
        <v>14</v>
      </c>
      <c r="C521" s="8">
        <v>-1.0</v>
      </c>
      <c r="D521" s="8">
        <v>15.0</v>
      </c>
      <c r="E521" s="8">
        <v>6.0</v>
      </c>
      <c r="F521" s="8">
        <v>5.0</v>
      </c>
      <c r="G521" s="7" t="str">
        <f t="shared" si="1"/>
        <v>needs update</v>
      </c>
      <c r="H521" s="7" t="s">
        <v>14</v>
      </c>
      <c r="I521" s="7" t="s">
        <v>14</v>
      </c>
      <c r="J521" s="8">
        <v>1.0</v>
      </c>
      <c r="K521" s="7" t="s">
        <v>14</v>
      </c>
      <c r="L521" s="8">
        <v>1.0</v>
      </c>
      <c r="Q521" s="11"/>
    </row>
    <row r="522">
      <c r="A522" s="7" t="s">
        <v>515</v>
      </c>
      <c r="B522" s="7" t="s">
        <v>14</v>
      </c>
      <c r="C522" s="8">
        <v>20.0</v>
      </c>
      <c r="D522" s="8">
        <v>0.0</v>
      </c>
      <c r="E522" s="8">
        <v>6.0</v>
      </c>
      <c r="F522" s="8">
        <v>0.0</v>
      </c>
      <c r="G522" s="7">
        <f t="shared" si="1"/>
        <v>26</v>
      </c>
      <c r="H522" s="7" t="s">
        <v>14</v>
      </c>
      <c r="I522" s="7" t="s">
        <v>14</v>
      </c>
      <c r="J522" s="8">
        <v>0.0</v>
      </c>
      <c r="K522" s="7" t="s">
        <v>14</v>
      </c>
      <c r="L522" s="8">
        <v>1.0</v>
      </c>
      <c r="Q522" s="11"/>
    </row>
    <row r="523">
      <c r="A523" s="7" t="s">
        <v>516</v>
      </c>
      <c r="B523" s="7" t="s">
        <v>14</v>
      </c>
      <c r="C523" s="8">
        <v>-1.0</v>
      </c>
      <c r="D523" s="8">
        <v>15.0</v>
      </c>
      <c r="E523" s="8">
        <v>0.0</v>
      </c>
      <c r="F523" s="8">
        <v>0.0</v>
      </c>
      <c r="G523" s="7" t="str">
        <f t="shared" si="1"/>
        <v>needs update</v>
      </c>
      <c r="H523" s="7" t="s">
        <v>14</v>
      </c>
      <c r="I523" s="7" t="s">
        <v>14</v>
      </c>
      <c r="J523" s="8">
        <v>1.0</v>
      </c>
      <c r="K523" s="7" t="s">
        <v>14</v>
      </c>
      <c r="L523" s="8">
        <v>0.0</v>
      </c>
      <c r="Q523" s="11"/>
    </row>
    <row r="524">
      <c r="A524" s="7" t="s">
        <v>505</v>
      </c>
      <c r="B524" s="7" t="s">
        <v>14</v>
      </c>
      <c r="C524" s="8">
        <v>-1.0</v>
      </c>
      <c r="D524" s="8">
        <v>15.0</v>
      </c>
      <c r="E524" s="8">
        <v>6.7</v>
      </c>
      <c r="F524" s="8">
        <v>5.0</v>
      </c>
      <c r="G524" s="7" t="str">
        <f t="shared" si="1"/>
        <v>needs update</v>
      </c>
      <c r="H524" s="7" t="s">
        <v>14</v>
      </c>
      <c r="I524" s="7" t="s">
        <v>14</v>
      </c>
      <c r="J524" s="8">
        <v>1.0</v>
      </c>
      <c r="K524" s="7" t="s">
        <v>14</v>
      </c>
      <c r="L524" s="8">
        <v>1.0</v>
      </c>
      <c r="Q524" s="11"/>
    </row>
    <row r="525">
      <c r="A525" s="7" t="s">
        <v>506</v>
      </c>
      <c r="B525" s="7" t="s">
        <v>14</v>
      </c>
      <c r="C525" s="8">
        <v>13.2</v>
      </c>
      <c r="D525" s="8">
        <v>0.0</v>
      </c>
      <c r="E525" s="8">
        <v>6.7</v>
      </c>
      <c r="F525" s="8">
        <v>0.0</v>
      </c>
      <c r="G525" s="7">
        <f t="shared" si="1"/>
        <v>19.9</v>
      </c>
      <c r="H525" s="7" t="s">
        <v>14</v>
      </c>
      <c r="I525" s="7" t="s">
        <v>14</v>
      </c>
      <c r="J525" s="8">
        <v>1.0</v>
      </c>
      <c r="K525" s="7" t="s">
        <v>14</v>
      </c>
      <c r="L525" s="8">
        <v>0.0</v>
      </c>
      <c r="Q525" s="11"/>
    </row>
    <row r="526">
      <c r="A526" s="7" t="s">
        <v>507</v>
      </c>
      <c r="B526" s="7" t="s">
        <v>14</v>
      </c>
      <c r="C526" s="8">
        <v>-1.0</v>
      </c>
      <c r="D526" s="8">
        <v>15.0</v>
      </c>
      <c r="E526" s="8">
        <v>6.7</v>
      </c>
      <c r="F526" s="8">
        <v>5.0</v>
      </c>
      <c r="G526" s="7" t="str">
        <f t="shared" si="1"/>
        <v>needs update</v>
      </c>
      <c r="H526" s="7" t="s">
        <v>14</v>
      </c>
      <c r="I526" s="7" t="s">
        <v>14</v>
      </c>
      <c r="J526" s="8">
        <v>1.0</v>
      </c>
      <c r="K526" s="7" t="s">
        <v>14</v>
      </c>
      <c r="L526" s="8">
        <v>1.0</v>
      </c>
      <c r="Q526" s="11"/>
    </row>
    <row r="527">
      <c r="A527" s="7" t="s">
        <v>508</v>
      </c>
      <c r="B527" s="7" t="s">
        <v>14</v>
      </c>
      <c r="C527" s="8">
        <v>8.0</v>
      </c>
      <c r="D527" s="8">
        <v>15.0</v>
      </c>
      <c r="E527" s="8">
        <v>8.2</v>
      </c>
      <c r="F527" s="8">
        <v>0.0</v>
      </c>
      <c r="G527" s="7">
        <f t="shared" si="1"/>
        <v>31.2</v>
      </c>
      <c r="H527" s="7" t="s">
        <v>14</v>
      </c>
      <c r="I527" s="7" t="s">
        <v>14</v>
      </c>
      <c r="J527" s="8">
        <v>1.0</v>
      </c>
      <c r="K527" s="7" t="s">
        <v>14</v>
      </c>
      <c r="L527" s="8">
        <v>0.0</v>
      </c>
      <c r="Q527" s="11"/>
    </row>
    <row r="528">
      <c r="A528" s="7" t="s">
        <v>509</v>
      </c>
      <c r="B528" s="7" t="s">
        <v>14</v>
      </c>
      <c r="C528" s="8">
        <v>-1.0</v>
      </c>
      <c r="D528" s="8">
        <v>15.0</v>
      </c>
      <c r="E528" s="8">
        <v>9.0</v>
      </c>
      <c r="F528" s="8">
        <v>0.0</v>
      </c>
      <c r="G528" s="7" t="str">
        <f t="shared" si="1"/>
        <v>needs update</v>
      </c>
      <c r="H528" s="7" t="s">
        <v>14</v>
      </c>
      <c r="I528" s="7" t="s">
        <v>14</v>
      </c>
      <c r="J528" s="8">
        <v>1.0</v>
      </c>
      <c r="K528" s="7" t="s">
        <v>14</v>
      </c>
      <c r="L528" s="8">
        <v>0.0</v>
      </c>
      <c r="Q528" s="11"/>
    </row>
    <row r="529">
      <c r="A529" s="7" t="s">
        <v>510</v>
      </c>
      <c r="B529" s="7" t="s">
        <v>14</v>
      </c>
      <c r="C529" s="8">
        <v>-1.0</v>
      </c>
      <c r="D529" s="8">
        <v>0.0</v>
      </c>
      <c r="E529" s="8">
        <v>0.0</v>
      </c>
      <c r="F529" s="8">
        <v>0.0</v>
      </c>
      <c r="G529" s="7" t="str">
        <f t="shared" si="1"/>
        <v>needs update</v>
      </c>
      <c r="H529" s="7" t="s">
        <v>14</v>
      </c>
      <c r="I529" s="7" t="s">
        <v>14</v>
      </c>
      <c r="J529" s="8">
        <v>0.0</v>
      </c>
      <c r="K529" s="7" t="s">
        <v>14</v>
      </c>
      <c r="L529" s="8">
        <v>1.0</v>
      </c>
      <c r="Q529" s="11"/>
    </row>
    <row r="530">
      <c r="A530" s="7" t="s">
        <v>511</v>
      </c>
      <c r="B530" s="7" t="s">
        <v>14</v>
      </c>
      <c r="C530" s="8">
        <v>-1.0</v>
      </c>
      <c r="D530" s="8">
        <v>0.0</v>
      </c>
      <c r="E530" s="8">
        <v>9.7</v>
      </c>
      <c r="F530" s="8">
        <v>0.0</v>
      </c>
      <c r="G530" s="7" t="str">
        <f t="shared" si="1"/>
        <v>needs update</v>
      </c>
      <c r="H530" s="7" t="s">
        <v>14</v>
      </c>
      <c r="I530" s="7" t="s">
        <v>14</v>
      </c>
      <c r="J530" s="8">
        <v>0.0</v>
      </c>
      <c r="K530" s="7" t="s">
        <v>14</v>
      </c>
      <c r="L530" s="8">
        <v>1.0</v>
      </c>
      <c r="Q530" s="11"/>
    </row>
    <row r="531">
      <c r="A531" s="7" t="s">
        <v>512</v>
      </c>
      <c r="B531" s="7" t="s">
        <v>14</v>
      </c>
      <c r="C531" s="8">
        <v>-1.0</v>
      </c>
      <c r="D531" s="8">
        <v>15.0</v>
      </c>
      <c r="E531" s="8">
        <v>0.0</v>
      </c>
      <c r="F531" s="8">
        <v>5.0</v>
      </c>
      <c r="G531" s="7" t="str">
        <f t="shared" si="1"/>
        <v>needs update</v>
      </c>
      <c r="H531" s="7" t="s">
        <v>14</v>
      </c>
      <c r="I531" s="7" t="s">
        <v>14</v>
      </c>
      <c r="J531" s="8">
        <v>1.0</v>
      </c>
      <c r="K531" s="7" t="s">
        <v>14</v>
      </c>
      <c r="L531" s="8">
        <v>0.0</v>
      </c>
      <c r="Q531" s="11"/>
    </row>
    <row r="532">
      <c r="A532" s="7" t="s">
        <v>513</v>
      </c>
      <c r="B532" s="7" t="s">
        <v>14</v>
      </c>
      <c r="C532" s="8">
        <v>-1.0</v>
      </c>
      <c r="D532" s="8">
        <v>15.0</v>
      </c>
      <c r="E532" s="8">
        <v>8.2</v>
      </c>
      <c r="F532" s="8">
        <v>0.0</v>
      </c>
      <c r="G532" s="7" t="str">
        <f t="shared" si="1"/>
        <v>needs update</v>
      </c>
      <c r="H532" s="7" t="s">
        <v>14</v>
      </c>
      <c r="I532" s="7" t="s">
        <v>14</v>
      </c>
      <c r="J532" s="8">
        <v>1.0</v>
      </c>
      <c r="K532" s="7" t="s">
        <v>14</v>
      </c>
      <c r="L532" s="8">
        <v>0.0</v>
      </c>
      <c r="Q532" s="11"/>
    </row>
    <row r="533">
      <c r="A533" s="7" t="s">
        <v>514</v>
      </c>
      <c r="B533" s="7" t="s">
        <v>14</v>
      </c>
      <c r="C533" s="8">
        <v>-1.0</v>
      </c>
      <c r="D533" s="8">
        <v>15.0</v>
      </c>
      <c r="E533" s="8">
        <v>2.2</v>
      </c>
      <c r="F533" s="8">
        <v>5.0</v>
      </c>
      <c r="G533" s="7" t="str">
        <f t="shared" si="1"/>
        <v>needs update</v>
      </c>
      <c r="H533" s="7" t="s">
        <v>14</v>
      </c>
      <c r="I533" s="7" t="s">
        <v>14</v>
      </c>
      <c r="J533" s="8">
        <v>1.0</v>
      </c>
      <c r="K533" s="7" t="s">
        <v>14</v>
      </c>
      <c r="L533" s="8">
        <v>1.0</v>
      </c>
      <c r="Q533" s="11"/>
    </row>
    <row r="534">
      <c r="A534" s="7" t="s">
        <v>515</v>
      </c>
      <c r="B534" s="7" t="s">
        <v>14</v>
      </c>
      <c r="C534" s="8">
        <v>20.0</v>
      </c>
      <c r="D534" s="8">
        <v>0.0</v>
      </c>
      <c r="E534" s="8">
        <v>6.0</v>
      </c>
      <c r="F534" s="8">
        <v>0.0</v>
      </c>
      <c r="G534" s="7">
        <f t="shared" si="1"/>
        <v>26</v>
      </c>
      <c r="H534" s="7" t="s">
        <v>14</v>
      </c>
      <c r="I534" s="7" t="s">
        <v>14</v>
      </c>
      <c r="J534" s="8">
        <v>0.0</v>
      </c>
      <c r="K534" s="7" t="s">
        <v>14</v>
      </c>
      <c r="L534" s="8">
        <v>1.0</v>
      </c>
      <c r="Q534" s="11"/>
    </row>
    <row r="535">
      <c r="A535" s="7" t="s">
        <v>516</v>
      </c>
      <c r="B535" s="7" t="s">
        <v>14</v>
      </c>
      <c r="C535" s="8">
        <v>-1.0</v>
      </c>
      <c r="D535" s="8">
        <v>15.0</v>
      </c>
      <c r="E535" s="8">
        <v>0.0</v>
      </c>
      <c r="F535" s="8">
        <v>0.0</v>
      </c>
      <c r="G535" s="7" t="str">
        <f t="shared" si="1"/>
        <v>needs update</v>
      </c>
      <c r="H535" s="7" t="s">
        <v>14</v>
      </c>
      <c r="I535" s="7" t="s">
        <v>14</v>
      </c>
      <c r="J535" s="8">
        <v>1.0</v>
      </c>
      <c r="K535" s="7" t="s">
        <v>14</v>
      </c>
      <c r="L535" s="8">
        <v>0.0</v>
      </c>
      <c r="Q535" s="11"/>
    </row>
    <row r="536">
      <c r="B536" s="32"/>
      <c r="Q536" s="11"/>
    </row>
    <row r="537">
      <c r="B537" s="32"/>
      <c r="Q537" s="11"/>
    </row>
    <row r="538">
      <c r="B538" s="32"/>
      <c r="Q538" s="11"/>
    </row>
    <row r="539">
      <c r="B539" s="32"/>
      <c r="Q539" s="11"/>
    </row>
    <row r="540">
      <c r="B540" s="32"/>
      <c r="Q540" s="11"/>
    </row>
    <row r="541">
      <c r="B541" s="32"/>
      <c r="Q541" s="11"/>
    </row>
    <row r="542">
      <c r="B542" s="32"/>
      <c r="Q542" s="11"/>
    </row>
    <row r="543">
      <c r="B543" s="32"/>
      <c r="Q543" s="11"/>
    </row>
    <row r="544">
      <c r="B544" s="32"/>
      <c r="Q544" s="11"/>
    </row>
    <row r="545">
      <c r="B545" s="32"/>
      <c r="Q545" s="11"/>
    </row>
    <row r="546">
      <c r="B546" s="32"/>
      <c r="Q546" s="11"/>
    </row>
    <row r="547">
      <c r="B547" s="32"/>
      <c r="Q547" s="11"/>
    </row>
    <row r="548">
      <c r="B548" s="32"/>
      <c r="Q548" s="11"/>
    </row>
    <row r="549">
      <c r="B549" s="32"/>
      <c r="Q549" s="11"/>
    </row>
    <row r="550">
      <c r="B550" s="32"/>
      <c r="Q550" s="11"/>
    </row>
    <row r="551">
      <c r="B551" s="32"/>
      <c r="Q551" s="11"/>
    </row>
    <row r="552">
      <c r="B552" s="32"/>
      <c r="Q552" s="11"/>
    </row>
    <row r="553">
      <c r="B553" s="32"/>
      <c r="Q553" s="11"/>
    </row>
    <row r="554">
      <c r="B554" s="32"/>
      <c r="Q554" s="11"/>
    </row>
    <row r="555">
      <c r="B555" s="32"/>
      <c r="Q555" s="11"/>
    </row>
    <row r="556">
      <c r="B556" s="32"/>
      <c r="Q556" s="11"/>
    </row>
    <row r="557">
      <c r="B557" s="32"/>
      <c r="Q557" s="11"/>
    </row>
    <row r="558">
      <c r="B558" s="32"/>
      <c r="Q558" s="11"/>
    </row>
    <row r="559">
      <c r="B559" s="32"/>
      <c r="Q559" s="11"/>
    </row>
    <row r="560">
      <c r="B560" s="32"/>
      <c r="Q560" s="11"/>
    </row>
    <row r="561">
      <c r="B561" s="32"/>
      <c r="Q561" s="11"/>
    </row>
    <row r="562">
      <c r="B562" s="32"/>
      <c r="Q562" s="11"/>
    </row>
    <row r="563">
      <c r="B563" s="32"/>
      <c r="Q563" s="11"/>
    </row>
    <row r="564">
      <c r="B564" s="32"/>
      <c r="Q564" s="11"/>
    </row>
    <row r="565">
      <c r="B565" s="32"/>
      <c r="Q565" s="11"/>
    </row>
    <row r="566">
      <c r="B566" s="32"/>
      <c r="Q566" s="11"/>
    </row>
    <row r="567">
      <c r="B567" s="32"/>
      <c r="Q567" s="11"/>
    </row>
    <row r="568">
      <c r="B568" s="32"/>
      <c r="Q568" s="11"/>
    </row>
    <row r="569">
      <c r="B569" s="32"/>
      <c r="Q569" s="11"/>
    </row>
    <row r="570">
      <c r="B570" s="32"/>
      <c r="Q570" s="11"/>
    </row>
    <row r="571">
      <c r="B571" s="32"/>
      <c r="Q571" s="11"/>
    </row>
    <row r="572">
      <c r="B572" s="32"/>
      <c r="Q572" s="11"/>
    </row>
    <row r="573">
      <c r="B573" s="32"/>
      <c r="Q573" s="11"/>
    </row>
    <row r="574">
      <c r="B574" s="32"/>
      <c r="Q574" s="11"/>
    </row>
    <row r="575">
      <c r="B575" s="32"/>
      <c r="Q575" s="11"/>
    </row>
    <row r="576">
      <c r="B576" s="32"/>
      <c r="Q576" s="11"/>
    </row>
    <row r="577">
      <c r="B577" s="32"/>
      <c r="Q577" s="11"/>
    </row>
    <row r="578">
      <c r="B578" s="32"/>
      <c r="Q578" s="11"/>
    </row>
    <row r="579">
      <c r="B579" s="32"/>
      <c r="Q579" s="11"/>
    </row>
    <row r="580">
      <c r="B580" s="32"/>
      <c r="Q580" s="11"/>
    </row>
    <row r="581">
      <c r="B581" s="32"/>
      <c r="Q581" s="11"/>
    </row>
    <row r="582">
      <c r="B582" s="32"/>
      <c r="Q582" s="11"/>
    </row>
    <row r="583">
      <c r="B583" s="32"/>
      <c r="Q583" s="11"/>
    </row>
    <row r="584">
      <c r="B584" s="32"/>
      <c r="Q584" s="11"/>
    </row>
    <row r="585">
      <c r="B585" s="32"/>
      <c r="Q585" s="11"/>
    </row>
    <row r="586">
      <c r="B586" s="32"/>
      <c r="Q586" s="11"/>
    </row>
    <row r="587">
      <c r="B587" s="32"/>
      <c r="Q587" s="11"/>
    </row>
    <row r="588">
      <c r="B588" s="32"/>
      <c r="Q588" s="11"/>
    </row>
    <row r="589">
      <c r="B589" s="32"/>
      <c r="Q589" s="11"/>
    </row>
    <row r="590">
      <c r="B590" s="32"/>
      <c r="Q590" s="11"/>
    </row>
    <row r="591">
      <c r="B591" s="32"/>
      <c r="Q591" s="11"/>
    </row>
    <row r="592">
      <c r="B592" s="32"/>
      <c r="Q592" s="11"/>
    </row>
    <row r="593">
      <c r="B593" s="32"/>
      <c r="Q593" s="11"/>
    </row>
    <row r="594">
      <c r="B594" s="32"/>
      <c r="Q594" s="11"/>
    </row>
    <row r="595">
      <c r="B595" s="32"/>
      <c r="Q595" s="11"/>
    </row>
    <row r="596">
      <c r="B596" s="32"/>
      <c r="Q596" s="11"/>
    </row>
    <row r="597">
      <c r="Q597" s="11"/>
    </row>
    <row r="598">
      <c r="Q598" s="11"/>
    </row>
    <row r="599">
      <c r="Q599" s="11"/>
    </row>
    <row r="600">
      <c r="Q600" s="11"/>
    </row>
    <row r="601">
      <c r="Q601" s="11"/>
    </row>
    <row r="602">
      <c r="Q602" s="11"/>
    </row>
    <row r="603">
      <c r="Q603" s="11"/>
    </row>
    <row r="604">
      <c r="Q604" s="11"/>
    </row>
    <row r="605">
      <c r="Q605" s="11"/>
    </row>
    <row r="606">
      <c r="Q606" s="11"/>
    </row>
    <row r="607">
      <c r="Q607" s="11"/>
    </row>
    <row r="608">
      <c r="Q608" s="11"/>
    </row>
    <row r="609">
      <c r="Q609" s="11"/>
    </row>
    <row r="610">
      <c r="Q610" s="11"/>
    </row>
    <row r="611">
      <c r="Q611" s="11"/>
    </row>
    <row r="612">
      <c r="Q612" s="11"/>
    </row>
    <row r="613">
      <c r="Q613" s="11"/>
    </row>
    <row r="614">
      <c r="Q614" s="11"/>
    </row>
    <row r="615">
      <c r="Q615" s="11"/>
    </row>
    <row r="616">
      <c r="Q616" s="11"/>
    </row>
    <row r="617">
      <c r="Q617" s="11"/>
    </row>
    <row r="618">
      <c r="Q618" s="11"/>
    </row>
    <row r="619">
      <c r="Q619" s="11"/>
    </row>
    <row r="620">
      <c r="Q620" s="11"/>
    </row>
    <row r="621">
      <c r="Q621" s="11"/>
    </row>
    <row r="622">
      <c r="Q622" s="11"/>
    </row>
    <row r="623">
      <c r="Q623" s="11"/>
    </row>
    <row r="624">
      <c r="Q624" s="11"/>
    </row>
    <row r="625">
      <c r="Q625" s="11"/>
    </row>
    <row r="626">
      <c r="Q626" s="11"/>
    </row>
    <row r="627">
      <c r="Q627" s="11"/>
    </row>
    <row r="628">
      <c r="Q628" s="11"/>
    </row>
    <row r="629">
      <c r="Q629" s="11"/>
    </row>
    <row r="630">
      <c r="Q630" s="11"/>
    </row>
    <row r="631">
      <c r="Q631" s="11"/>
    </row>
    <row r="632">
      <c r="Q632" s="11"/>
    </row>
    <row r="633">
      <c r="Q633" s="11"/>
    </row>
    <row r="634">
      <c r="Q634" s="11"/>
    </row>
    <row r="635">
      <c r="Q635" s="11"/>
    </row>
    <row r="636">
      <c r="Q636" s="11"/>
    </row>
    <row r="637">
      <c r="Q637" s="11"/>
    </row>
    <row r="638">
      <c r="Q638" s="11"/>
    </row>
    <row r="639">
      <c r="Q639" s="11"/>
    </row>
    <row r="640">
      <c r="Q640" s="11"/>
    </row>
    <row r="641">
      <c r="Q641" s="11"/>
    </row>
    <row r="642">
      <c r="Q642" s="11"/>
    </row>
    <row r="643">
      <c r="Q643" s="11"/>
    </row>
    <row r="644">
      <c r="Q644" s="11"/>
    </row>
    <row r="645">
      <c r="Q645" s="11"/>
    </row>
    <row r="646">
      <c r="Q646" s="11"/>
    </row>
    <row r="647">
      <c r="Q647" s="11"/>
    </row>
    <row r="648">
      <c r="Q648" s="11"/>
    </row>
    <row r="649">
      <c r="Q649" s="11"/>
    </row>
    <row r="650">
      <c r="Q650" s="11"/>
    </row>
    <row r="651">
      <c r="Q651" s="11"/>
    </row>
    <row r="652">
      <c r="Q652" s="11"/>
    </row>
    <row r="653">
      <c r="Q653" s="11"/>
    </row>
    <row r="654">
      <c r="Q654" s="11"/>
    </row>
    <row r="655">
      <c r="Q655" s="11"/>
    </row>
    <row r="656">
      <c r="Q656" s="11"/>
    </row>
    <row r="657">
      <c r="Q657" s="11"/>
    </row>
    <row r="658">
      <c r="Q658" s="11"/>
    </row>
    <row r="659">
      <c r="Q659" s="11"/>
    </row>
    <row r="660">
      <c r="Q660" s="11"/>
    </row>
    <row r="661">
      <c r="Q661" s="11"/>
    </row>
    <row r="662">
      <c r="Q662" s="11"/>
    </row>
    <row r="663">
      <c r="Q663" s="11"/>
    </row>
    <row r="664">
      <c r="Q664" s="11"/>
    </row>
    <row r="665">
      <c r="Q665" s="11"/>
    </row>
    <row r="666">
      <c r="Q666" s="11"/>
    </row>
    <row r="667">
      <c r="Q667" s="11"/>
    </row>
    <row r="668">
      <c r="Q668" s="11"/>
    </row>
    <row r="669">
      <c r="Q669" s="11"/>
    </row>
    <row r="670">
      <c r="Q670" s="11"/>
    </row>
    <row r="671">
      <c r="Q671" s="11"/>
    </row>
    <row r="672">
      <c r="Q672" s="11"/>
    </row>
    <row r="673">
      <c r="Q673" s="11"/>
    </row>
    <row r="674">
      <c r="Q674" s="11"/>
    </row>
    <row r="675">
      <c r="Q675" s="11"/>
    </row>
    <row r="676">
      <c r="Q676" s="11"/>
    </row>
    <row r="677">
      <c r="Q677" s="11"/>
    </row>
    <row r="678">
      <c r="Q678" s="11"/>
    </row>
    <row r="679">
      <c r="Q679" s="11"/>
    </row>
    <row r="680">
      <c r="Q680" s="11"/>
    </row>
    <row r="681">
      <c r="Q681" s="11"/>
    </row>
    <row r="682">
      <c r="Q682" s="11"/>
    </row>
    <row r="683">
      <c r="Q683" s="11"/>
    </row>
    <row r="684">
      <c r="Q684" s="11"/>
    </row>
    <row r="685">
      <c r="Q685" s="11"/>
    </row>
    <row r="686">
      <c r="Q686" s="11"/>
    </row>
    <row r="687">
      <c r="Q687" s="11"/>
    </row>
    <row r="688">
      <c r="Q688" s="11"/>
    </row>
    <row r="689">
      <c r="Q689" s="11"/>
    </row>
    <row r="690">
      <c r="Q690" s="11"/>
    </row>
    <row r="691">
      <c r="Q691" s="11"/>
    </row>
    <row r="692">
      <c r="Q692" s="11"/>
    </row>
    <row r="693">
      <c r="Q693" s="11"/>
    </row>
    <row r="694">
      <c r="Q694" s="11"/>
    </row>
    <row r="695">
      <c r="Q695" s="11"/>
    </row>
    <row r="696">
      <c r="Q696" s="11"/>
    </row>
    <row r="697">
      <c r="Q697" s="11"/>
    </row>
    <row r="698">
      <c r="Q698" s="11"/>
    </row>
    <row r="699">
      <c r="Q699" s="11"/>
    </row>
    <row r="700">
      <c r="Q700" s="11"/>
    </row>
    <row r="701">
      <c r="Q701" s="11"/>
    </row>
    <row r="702">
      <c r="Q702" s="11"/>
    </row>
    <row r="703">
      <c r="Q703" s="11"/>
    </row>
    <row r="704">
      <c r="Q704" s="11"/>
    </row>
    <row r="705">
      <c r="Q705" s="11"/>
    </row>
    <row r="706">
      <c r="Q706" s="11"/>
    </row>
    <row r="707">
      <c r="Q707" s="11"/>
    </row>
    <row r="708">
      <c r="Q708" s="11"/>
    </row>
    <row r="709">
      <c r="Q709" s="11"/>
    </row>
    <row r="710">
      <c r="Q710" s="11"/>
    </row>
    <row r="711">
      <c r="Q711" s="11"/>
    </row>
    <row r="712">
      <c r="Q712" s="11"/>
    </row>
    <row r="713">
      <c r="Q713" s="11"/>
    </row>
    <row r="714">
      <c r="Q714" s="11"/>
    </row>
    <row r="715">
      <c r="Q715" s="11"/>
    </row>
    <row r="716">
      <c r="Q716" s="11"/>
    </row>
    <row r="717">
      <c r="Q717" s="11"/>
    </row>
    <row r="718">
      <c r="Q718" s="11"/>
    </row>
    <row r="719">
      <c r="Q719" s="11"/>
    </row>
    <row r="720">
      <c r="Q720" s="11"/>
    </row>
    <row r="721">
      <c r="Q721" s="11"/>
    </row>
    <row r="722">
      <c r="Q722" s="11"/>
    </row>
    <row r="723">
      <c r="Q723" s="11"/>
    </row>
    <row r="724">
      <c r="Q724" s="11"/>
    </row>
    <row r="725">
      <c r="Q725" s="11"/>
    </row>
    <row r="726">
      <c r="Q726" s="11"/>
    </row>
    <row r="727">
      <c r="Q727" s="11"/>
    </row>
    <row r="728">
      <c r="Q728" s="11"/>
    </row>
    <row r="729">
      <c r="Q729" s="11"/>
    </row>
    <row r="730">
      <c r="Q730" s="11"/>
    </row>
    <row r="731">
      <c r="Q731" s="11"/>
    </row>
    <row r="732">
      <c r="Q732" s="11"/>
    </row>
    <row r="733">
      <c r="Q733" s="11"/>
    </row>
    <row r="734">
      <c r="Q734" s="11"/>
    </row>
    <row r="735">
      <c r="Q735" s="11"/>
    </row>
    <row r="736">
      <c r="Q736" s="11"/>
    </row>
    <row r="737">
      <c r="Q737" s="11"/>
    </row>
    <row r="738">
      <c r="Q738" s="11"/>
    </row>
    <row r="739">
      <c r="Q739" s="11"/>
    </row>
    <row r="740">
      <c r="Q740" s="11"/>
    </row>
    <row r="741">
      <c r="Q741" s="11"/>
    </row>
    <row r="742">
      <c r="Q742" s="11"/>
    </row>
    <row r="743">
      <c r="Q743" s="11"/>
    </row>
    <row r="744">
      <c r="Q744" s="11"/>
    </row>
    <row r="745">
      <c r="Q745" s="11"/>
    </row>
    <row r="746">
      <c r="Q746" s="11"/>
    </row>
    <row r="747">
      <c r="Q747" s="11"/>
    </row>
    <row r="748">
      <c r="Q748" s="11"/>
    </row>
    <row r="749">
      <c r="Q749" s="11"/>
    </row>
    <row r="750">
      <c r="Q750" s="11"/>
    </row>
    <row r="751">
      <c r="Q751" s="11"/>
    </row>
    <row r="752">
      <c r="Q752" s="11"/>
    </row>
    <row r="753">
      <c r="Q753" s="11"/>
    </row>
    <row r="754">
      <c r="Q754" s="11"/>
    </row>
    <row r="755">
      <c r="Q755" s="11"/>
    </row>
    <row r="756">
      <c r="Q756" s="11"/>
    </row>
    <row r="757">
      <c r="Q757" s="11"/>
    </row>
    <row r="758">
      <c r="Q758" s="11"/>
    </row>
    <row r="759">
      <c r="Q759" s="11"/>
    </row>
    <row r="760">
      <c r="Q760" s="11"/>
    </row>
    <row r="761">
      <c r="Q761" s="11"/>
    </row>
    <row r="762">
      <c r="Q762" s="11"/>
    </row>
    <row r="763">
      <c r="Q763" s="11"/>
    </row>
    <row r="764">
      <c r="Q764" s="11"/>
    </row>
    <row r="765">
      <c r="Q765" s="11"/>
    </row>
    <row r="766">
      <c r="Q766" s="11"/>
    </row>
    <row r="767">
      <c r="Q767" s="11"/>
    </row>
    <row r="768">
      <c r="Q768" s="11"/>
    </row>
    <row r="769">
      <c r="Q769" s="11"/>
    </row>
    <row r="770">
      <c r="Q770" s="11"/>
    </row>
    <row r="771">
      <c r="Q771" s="11"/>
    </row>
    <row r="772">
      <c r="Q772" s="11"/>
    </row>
    <row r="773">
      <c r="Q773" s="11"/>
    </row>
    <row r="774">
      <c r="Q774" s="11"/>
    </row>
    <row r="775">
      <c r="Q775" s="11"/>
    </row>
    <row r="776">
      <c r="Q776" s="11"/>
    </row>
    <row r="777">
      <c r="Q777" s="11"/>
    </row>
    <row r="778">
      <c r="Q778" s="11"/>
    </row>
    <row r="779">
      <c r="Q779" s="11"/>
    </row>
    <row r="780">
      <c r="Q780" s="11"/>
    </row>
    <row r="781">
      <c r="Q781" s="11"/>
    </row>
    <row r="782">
      <c r="Q782" s="11"/>
    </row>
    <row r="783">
      <c r="Q783" s="11"/>
    </row>
    <row r="784">
      <c r="Q784" s="11"/>
    </row>
    <row r="785">
      <c r="Q785" s="11"/>
    </row>
    <row r="786">
      <c r="Q786" s="11"/>
    </row>
    <row r="787">
      <c r="Q787" s="11"/>
    </row>
    <row r="788">
      <c r="Q788" s="11"/>
    </row>
    <row r="789">
      <c r="Q789" s="11"/>
    </row>
    <row r="790">
      <c r="Q790" s="11"/>
    </row>
    <row r="791">
      <c r="Q791" s="11"/>
    </row>
    <row r="792">
      <c r="Q792" s="11"/>
    </row>
    <row r="793">
      <c r="Q793" s="11"/>
    </row>
    <row r="794">
      <c r="Q794" s="11"/>
    </row>
    <row r="795">
      <c r="Q795" s="11"/>
    </row>
    <row r="796">
      <c r="Q796" s="11"/>
    </row>
    <row r="797">
      <c r="Q797" s="11"/>
    </row>
    <row r="798">
      <c r="Q798" s="11"/>
    </row>
    <row r="799">
      <c r="Q799" s="11"/>
    </row>
    <row r="800">
      <c r="Q800" s="11"/>
    </row>
    <row r="801">
      <c r="Q801" s="11"/>
    </row>
    <row r="802">
      <c r="Q802" s="11"/>
    </row>
    <row r="803">
      <c r="Q803" s="11"/>
    </row>
    <row r="804">
      <c r="Q804" s="11"/>
    </row>
    <row r="805">
      <c r="Q805" s="11"/>
    </row>
    <row r="806">
      <c r="Q806" s="11"/>
    </row>
    <row r="807">
      <c r="Q807" s="11"/>
    </row>
    <row r="808">
      <c r="Q808" s="11"/>
    </row>
    <row r="809">
      <c r="Q809" s="11"/>
    </row>
    <row r="810">
      <c r="Q810" s="11"/>
    </row>
    <row r="811">
      <c r="Q811" s="11"/>
    </row>
    <row r="812">
      <c r="Q812" s="11"/>
    </row>
    <row r="813">
      <c r="Q813" s="11"/>
    </row>
    <row r="814">
      <c r="Q814" s="11"/>
    </row>
    <row r="815">
      <c r="Q815" s="11"/>
    </row>
    <row r="816">
      <c r="Q816" s="11"/>
    </row>
    <row r="817">
      <c r="Q817" s="11"/>
    </row>
    <row r="818">
      <c r="Q818" s="11"/>
    </row>
    <row r="819">
      <c r="Q819" s="11"/>
    </row>
    <row r="820">
      <c r="Q820" s="11"/>
    </row>
    <row r="821">
      <c r="Q821" s="11"/>
    </row>
    <row r="822">
      <c r="Q822" s="11"/>
    </row>
    <row r="823">
      <c r="Q823" s="11"/>
    </row>
    <row r="824">
      <c r="Q824" s="11"/>
    </row>
    <row r="825">
      <c r="Q825" s="11"/>
    </row>
    <row r="826">
      <c r="Q826" s="11"/>
    </row>
    <row r="827">
      <c r="Q827" s="11"/>
    </row>
    <row r="828">
      <c r="Q828" s="11"/>
    </row>
    <row r="829">
      <c r="Q829" s="11"/>
    </row>
    <row r="830">
      <c r="Q830" s="11"/>
    </row>
    <row r="831">
      <c r="Q831" s="11"/>
    </row>
    <row r="832">
      <c r="Q832" s="11"/>
    </row>
    <row r="833">
      <c r="Q833" s="11"/>
    </row>
    <row r="834">
      <c r="Q834" s="11"/>
    </row>
    <row r="835">
      <c r="Q835" s="11"/>
    </row>
    <row r="836">
      <c r="Q836" s="11"/>
    </row>
    <row r="837">
      <c r="Q837" s="11"/>
    </row>
    <row r="838">
      <c r="Q838" s="11"/>
    </row>
    <row r="839">
      <c r="Q839" s="11"/>
    </row>
    <row r="840">
      <c r="Q840" s="11"/>
    </row>
    <row r="841">
      <c r="Q841" s="11"/>
    </row>
    <row r="842">
      <c r="Q842" s="11"/>
    </row>
    <row r="843">
      <c r="Q843" s="11"/>
    </row>
    <row r="844">
      <c r="Q844" s="11"/>
    </row>
    <row r="845">
      <c r="Q845" s="11"/>
    </row>
    <row r="846">
      <c r="Q846" s="11"/>
    </row>
    <row r="847">
      <c r="Q847" s="11"/>
    </row>
    <row r="848">
      <c r="Q848" s="11"/>
    </row>
    <row r="849">
      <c r="Q849" s="11"/>
    </row>
    <row r="850">
      <c r="Q850" s="11"/>
    </row>
    <row r="851">
      <c r="Q851" s="11"/>
    </row>
    <row r="852">
      <c r="Q852" s="11"/>
    </row>
    <row r="853">
      <c r="Q853" s="11"/>
    </row>
    <row r="854">
      <c r="Q854" s="11"/>
    </row>
    <row r="855">
      <c r="Q855" s="11"/>
    </row>
    <row r="856">
      <c r="Q856" s="11"/>
    </row>
    <row r="857">
      <c r="Q857" s="11"/>
    </row>
    <row r="858">
      <c r="Q858" s="11"/>
    </row>
    <row r="859">
      <c r="Q859" s="11"/>
    </row>
    <row r="860">
      <c r="Q860" s="11"/>
    </row>
    <row r="861">
      <c r="Q861" s="11"/>
    </row>
    <row r="862">
      <c r="Q862" s="11"/>
    </row>
    <row r="863">
      <c r="Q863" s="11"/>
    </row>
    <row r="864">
      <c r="Q864" s="11"/>
    </row>
    <row r="865">
      <c r="Q865" s="11"/>
    </row>
    <row r="866">
      <c r="Q866" s="11"/>
    </row>
    <row r="867">
      <c r="Q867" s="11"/>
    </row>
    <row r="868">
      <c r="Q868" s="11"/>
    </row>
    <row r="869">
      <c r="Q869" s="11"/>
    </row>
    <row r="870">
      <c r="Q870" s="11"/>
    </row>
    <row r="871">
      <c r="Q871" s="11"/>
    </row>
    <row r="872">
      <c r="Q872" s="11"/>
    </row>
    <row r="873">
      <c r="Q873" s="11"/>
    </row>
    <row r="874">
      <c r="Q874" s="11"/>
    </row>
    <row r="875">
      <c r="Q875" s="11"/>
    </row>
    <row r="876">
      <c r="Q876" s="11"/>
    </row>
    <row r="877">
      <c r="Q877" s="11"/>
    </row>
    <row r="878">
      <c r="Q878" s="11"/>
    </row>
    <row r="879">
      <c r="Q879" s="11"/>
    </row>
    <row r="880">
      <c r="Q880" s="11"/>
    </row>
    <row r="881">
      <c r="Q881" s="11"/>
    </row>
    <row r="882">
      <c r="Q882" s="11"/>
    </row>
    <row r="883">
      <c r="Q883" s="11"/>
    </row>
    <row r="884">
      <c r="Q884" s="11"/>
    </row>
    <row r="885">
      <c r="Q885" s="11"/>
    </row>
    <row r="886">
      <c r="Q886" s="11"/>
    </row>
    <row r="887">
      <c r="Q887" s="11"/>
    </row>
    <row r="888">
      <c r="Q888" s="11"/>
    </row>
    <row r="889">
      <c r="Q889" s="11"/>
    </row>
    <row r="890">
      <c r="Q890" s="11"/>
    </row>
    <row r="891">
      <c r="Q891" s="11"/>
    </row>
    <row r="892">
      <c r="Q892" s="11"/>
    </row>
    <row r="893">
      <c r="Q893" s="11"/>
    </row>
    <row r="894">
      <c r="Q894" s="11"/>
    </row>
    <row r="895">
      <c r="Q895" s="11"/>
    </row>
    <row r="896">
      <c r="Q896" s="11"/>
    </row>
    <row r="897">
      <c r="Q897" s="11"/>
    </row>
    <row r="898">
      <c r="Q898" s="11"/>
    </row>
    <row r="899">
      <c r="Q899" s="11"/>
    </row>
    <row r="900">
      <c r="Q900" s="11"/>
    </row>
    <row r="901">
      <c r="Q901" s="11"/>
    </row>
    <row r="902">
      <c r="Q902" s="11"/>
    </row>
    <row r="903">
      <c r="Q903" s="11"/>
    </row>
    <row r="904">
      <c r="Q904" s="11"/>
    </row>
    <row r="905">
      <c r="Q905" s="11"/>
    </row>
    <row r="906">
      <c r="Q906" s="11"/>
    </row>
    <row r="907">
      <c r="Q907" s="11"/>
    </row>
    <row r="908">
      <c r="Q908" s="11"/>
    </row>
    <row r="909">
      <c r="Q909" s="11"/>
    </row>
    <row r="910">
      <c r="Q910" s="11"/>
    </row>
    <row r="911">
      <c r="Q911" s="11"/>
    </row>
    <row r="912">
      <c r="Q912" s="11"/>
    </row>
    <row r="913">
      <c r="Q913" s="11"/>
    </row>
    <row r="914">
      <c r="Q914" s="11"/>
    </row>
    <row r="915">
      <c r="Q915" s="11"/>
    </row>
    <row r="916">
      <c r="Q916" s="11"/>
    </row>
    <row r="917">
      <c r="Q917" s="11"/>
    </row>
    <row r="918">
      <c r="Q918" s="11"/>
    </row>
    <row r="919">
      <c r="Q919" s="11"/>
    </row>
    <row r="920">
      <c r="Q920" s="11"/>
    </row>
    <row r="921">
      <c r="Q921" s="11"/>
    </row>
    <row r="922">
      <c r="Q922" s="11"/>
    </row>
    <row r="923">
      <c r="Q923" s="11"/>
    </row>
    <row r="924">
      <c r="Q924" s="11"/>
    </row>
    <row r="925">
      <c r="Q925" s="11"/>
    </row>
    <row r="926">
      <c r="Q926" s="11"/>
    </row>
    <row r="927">
      <c r="Q927" s="11"/>
    </row>
    <row r="928">
      <c r="Q928" s="11"/>
    </row>
    <row r="929">
      <c r="Q929" s="11"/>
    </row>
    <row r="930">
      <c r="Q930" s="11"/>
    </row>
    <row r="931">
      <c r="Q931" s="11"/>
    </row>
    <row r="932">
      <c r="Q932" s="11"/>
    </row>
    <row r="933">
      <c r="Q933" s="11"/>
    </row>
    <row r="934">
      <c r="Q934" s="11"/>
    </row>
    <row r="935">
      <c r="Q935" s="11"/>
    </row>
    <row r="936">
      <c r="Q936" s="11"/>
    </row>
    <row r="937">
      <c r="Q937" s="11"/>
    </row>
    <row r="938">
      <c r="Q938" s="11"/>
    </row>
    <row r="939">
      <c r="Q939" s="11"/>
    </row>
    <row r="940">
      <c r="Q940" s="11"/>
    </row>
    <row r="941">
      <c r="Q941" s="11"/>
    </row>
    <row r="942">
      <c r="Q942" s="11"/>
    </row>
    <row r="943">
      <c r="Q943" s="11"/>
    </row>
    <row r="944">
      <c r="Q944" s="11"/>
    </row>
    <row r="945">
      <c r="Q945" s="11"/>
    </row>
    <row r="946">
      <c r="Q946" s="11"/>
    </row>
    <row r="947">
      <c r="Q947" s="11"/>
    </row>
    <row r="948">
      <c r="Q948" s="11"/>
    </row>
    <row r="949">
      <c r="Q949" s="11"/>
    </row>
    <row r="950">
      <c r="Q950" s="11"/>
    </row>
    <row r="951">
      <c r="Q951" s="11"/>
    </row>
    <row r="952">
      <c r="Q952" s="11"/>
    </row>
    <row r="953">
      <c r="Q953" s="11"/>
    </row>
    <row r="954">
      <c r="Q954" s="11"/>
    </row>
    <row r="955">
      <c r="Q955" s="11"/>
    </row>
    <row r="956">
      <c r="Q956" s="11"/>
    </row>
    <row r="957">
      <c r="Q957" s="11"/>
    </row>
    <row r="958">
      <c r="Q958" s="11"/>
    </row>
    <row r="959">
      <c r="Q959" s="11"/>
    </row>
    <row r="960">
      <c r="Q960" s="11"/>
    </row>
    <row r="961">
      <c r="Q961" s="11"/>
    </row>
    <row r="962">
      <c r="Q962" s="11"/>
    </row>
    <row r="963">
      <c r="Q963" s="11"/>
    </row>
    <row r="964">
      <c r="Q964" s="11"/>
    </row>
    <row r="965">
      <c r="Q965" s="11"/>
    </row>
    <row r="966">
      <c r="Q966" s="11"/>
    </row>
    <row r="967">
      <c r="Q967" s="11"/>
    </row>
    <row r="968">
      <c r="Q968" s="11"/>
    </row>
    <row r="969">
      <c r="Q969" s="11"/>
    </row>
    <row r="970">
      <c r="Q970" s="11"/>
    </row>
    <row r="971">
      <c r="Q971" s="11"/>
    </row>
    <row r="972">
      <c r="Q972" s="11"/>
    </row>
    <row r="973">
      <c r="Q973" s="11"/>
    </row>
    <row r="974">
      <c r="Q974" s="11"/>
    </row>
    <row r="975">
      <c r="Q975" s="11"/>
    </row>
    <row r="976">
      <c r="Q976" s="11"/>
    </row>
    <row r="977">
      <c r="Q977" s="11"/>
    </row>
    <row r="978">
      <c r="Q978" s="11"/>
    </row>
    <row r="979">
      <c r="Q979" s="11"/>
    </row>
    <row r="980">
      <c r="Q980" s="11"/>
    </row>
    <row r="981">
      <c r="Q981" s="11"/>
    </row>
    <row r="982">
      <c r="Q982" s="11"/>
    </row>
    <row r="983">
      <c r="Q983" s="11"/>
    </row>
    <row r="984">
      <c r="Q984" s="11"/>
    </row>
    <row r="985">
      <c r="Q985" s="11"/>
    </row>
    <row r="986">
      <c r="Q986" s="11"/>
    </row>
    <row r="987">
      <c r="Q987" s="11"/>
    </row>
    <row r="988">
      <c r="Q988" s="11"/>
    </row>
    <row r="989">
      <c r="Q989" s="11"/>
    </row>
    <row r="990">
      <c r="Q990" s="11"/>
    </row>
    <row r="991">
      <c r="Q991" s="11"/>
    </row>
    <row r="992">
      <c r="Q992" s="11"/>
    </row>
    <row r="993">
      <c r="Q993" s="11"/>
    </row>
    <row r="994">
      <c r="Q994" s="11"/>
    </row>
    <row r="995">
      <c r="Q995" s="11"/>
    </row>
    <row r="996">
      <c r="Q996" s="11"/>
    </row>
    <row r="997">
      <c r="Q997" s="11"/>
    </row>
    <row r="998">
      <c r="Q998" s="11"/>
    </row>
    <row r="999">
      <c r="Q999" s="11"/>
    </row>
  </sheetData>
  <autoFilter ref="$B$1:$B$999">
    <sortState ref="B1:B999">
      <sortCondition ref="B1:B999"/>
    </sortState>
  </autoFilter>
  <conditionalFormatting sqref="A2:F999 H2:I999">
    <cfRule type="expression" dxfId="0" priority="1">
      <formula>$G2 &gt; 6</formula>
    </cfRule>
  </conditionalFormatting>
  <conditionalFormatting sqref="A2:F999 H2:I999">
    <cfRule type="expression" dxfId="1" priority="2">
      <formula>$I1="C"</formula>
    </cfRule>
  </conditionalFormatting>
  <conditionalFormatting sqref="A2:F999 H2:I999">
    <cfRule type="expression" dxfId="2" priority="3">
      <formula>$I1 = "B"</formula>
    </cfRule>
  </conditionalFormatting>
  <conditionalFormatting sqref="A2:F999 H2:I999">
    <cfRule type="expression" dxfId="3" priority="4">
      <formula>$I1 = "W"</formula>
    </cfRule>
  </conditionalFormatting>
  <conditionalFormatting sqref="A2:F999 H2:I999">
    <cfRule type="expression" dxfId="4" priority="5">
      <formula>$G2 &gt; 40</formula>
    </cfRule>
  </conditionalFormatting>
  <conditionalFormatting sqref="G1">
    <cfRule type="colorScale" priority="6">
      <colorScale>
        <cfvo type="min"/>
        <cfvo type="max"/>
        <color rgb="FFFFFFFF"/>
        <color rgb="FF57BB8A"/>
      </colorScale>
    </cfRule>
  </conditionalFormatting>
  <hyperlinks>
    <hyperlink r:id="rId1" ref="A46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</cols>
  <sheetData>
    <row r="1">
      <c r="A1" s="2" t="s">
        <v>517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518</v>
      </c>
      <c r="G1" s="2" t="s">
        <v>519</v>
      </c>
      <c r="H1" s="2" t="s">
        <v>520</v>
      </c>
      <c r="I1" s="2" t="s">
        <v>521</v>
      </c>
      <c r="J1" s="2" t="s">
        <v>522</v>
      </c>
      <c r="K1" s="2" t="s">
        <v>523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F2" s="33"/>
    </row>
    <row r="3">
      <c r="F3" s="33"/>
    </row>
    <row r="4">
      <c r="F4" s="34"/>
    </row>
    <row r="5">
      <c r="F5" s="33"/>
    </row>
    <row r="6">
      <c r="F6" s="34"/>
    </row>
    <row r="7">
      <c r="F7" s="33"/>
    </row>
    <row r="9">
      <c r="F9" s="33"/>
    </row>
    <row r="10">
      <c r="F10" s="33"/>
    </row>
    <row r="11">
      <c r="F11" s="33"/>
    </row>
    <row r="12">
      <c r="F12" s="33"/>
    </row>
    <row r="13">
      <c r="F13" s="33"/>
    </row>
    <row r="14">
      <c r="F14" s="33"/>
    </row>
    <row r="15">
      <c r="F15" s="33"/>
    </row>
    <row r="16">
      <c r="F16" s="33"/>
    </row>
    <row r="17">
      <c r="F17" s="33"/>
    </row>
    <row r="18">
      <c r="F18" s="33"/>
    </row>
    <row r="19">
      <c r="F19" s="34"/>
    </row>
    <row r="20">
      <c r="F20" s="34"/>
    </row>
    <row r="21">
      <c r="F21" s="34"/>
    </row>
    <row r="22">
      <c r="F22" s="33"/>
    </row>
    <row r="23">
      <c r="F23" s="33"/>
    </row>
    <row r="24">
      <c r="F24" s="33"/>
    </row>
    <row r="25">
      <c r="F25" s="33"/>
    </row>
    <row r="26">
      <c r="F26" s="34"/>
    </row>
    <row r="28">
      <c r="F28" s="34"/>
    </row>
    <row r="29">
      <c r="F29" s="33"/>
    </row>
    <row r="30">
      <c r="F30" s="33"/>
    </row>
    <row r="31">
      <c r="F31" s="33"/>
    </row>
    <row r="32">
      <c r="F32" s="33"/>
    </row>
    <row r="33">
      <c r="F33" s="33"/>
    </row>
    <row r="34">
      <c r="F34" s="33"/>
    </row>
    <row r="35">
      <c r="F35" s="33"/>
    </row>
    <row r="36">
      <c r="F36" s="33"/>
    </row>
    <row r="37">
      <c r="F37" s="33"/>
    </row>
    <row r="38">
      <c r="F38" s="33"/>
    </row>
    <row r="39">
      <c r="F39" s="33"/>
    </row>
    <row r="40">
      <c r="F40" s="34"/>
    </row>
    <row r="41">
      <c r="F41" s="33"/>
    </row>
    <row r="42">
      <c r="F42" s="33"/>
    </row>
    <row r="43">
      <c r="F43" s="33"/>
    </row>
    <row r="44">
      <c r="F44" s="33"/>
    </row>
    <row r="45">
      <c r="F45" s="34"/>
    </row>
    <row r="47">
      <c r="F47" s="34"/>
    </row>
    <row r="48">
      <c r="F48" s="33"/>
    </row>
    <row r="49">
      <c r="F49" s="33"/>
    </row>
    <row r="50">
      <c r="F50" s="33"/>
    </row>
    <row r="51">
      <c r="F51" s="33"/>
    </row>
    <row r="52">
      <c r="F52" s="33"/>
    </row>
    <row r="53">
      <c r="F53" s="33"/>
    </row>
    <row r="54">
      <c r="F54" s="33"/>
    </row>
    <row r="55">
      <c r="F55" s="33"/>
    </row>
    <row r="56">
      <c r="F56" s="33"/>
    </row>
    <row r="57">
      <c r="F57" s="33"/>
    </row>
    <row r="58">
      <c r="F58" s="33"/>
    </row>
    <row r="59">
      <c r="F59" s="34"/>
    </row>
    <row r="60">
      <c r="F60" s="33"/>
    </row>
    <row r="61">
      <c r="F61" s="33"/>
    </row>
    <row r="62">
      <c r="F62" s="33"/>
    </row>
    <row r="63">
      <c r="F63" s="33"/>
    </row>
    <row r="64">
      <c r="F64" s="34"/>
    </row>
    <row r="66">
      <c r="F66" s="34"/>
    </row>
    <row r="67">
      <c r="F67" s="33"/>
    </row>
    <row r="68">
      <c r="F68" s="33"/>
    </row>
    <row r="69">
      <c r="F69" s="33"/>
    </row>
    <row r="70">
      <c r="F70" s="33"/>
    </row>
    <row r="71">
      <c r="F71" s="33"/>
    </row>
    <row r="72">
      <c r="F72" s="33"/>
    </row>
    <row r="73">
      <c r="F73" s="33"/>
    </row>
    <row r="74">
      <c r="F74" s="33"/>
    </row>
    <row r="75">
      <c r="F75" s="33"/>
    </row>
    <row r="76">
      <c r="F76" s="33"/>
    </row>
    <row r="77">
      <c r="F77" s="33"/>
    </row>
    <row r="78">
      <c r="F78" s="34"/>
    </row>
    <row r="79">
      <c r="F79" s="33"/>
    </row>
    <row r="80">
      <c r="F80" s="33"/>
    </row>
    <row r="81">
      <c r="F81" s="33"/>
    </row>
    <row r="82">
      <c r="F82" s="33"/>
    </row>
    <row r="83">
      <c r="F83" s="34"/>
    </row>
    <row r="84">
      <c r="F84" s="33"/>
    </row>
    <row r="85">
      <c r="F85" s="33"/>
    </row>
    <row r="86">
      <c r="F86" s="34"/>
    </row>
    <row r="87">
      <c r="F87" s="33"/>
    </row>
    <row r="88">
      <c r="F88" s="33"/>
    </row>
    <row r="90">
      <c r="F90" s="33"/>
    </row>
    <row r="91">
      <c r="F91" s="33"/>
    </row>
    <row r="92">
      <c r="F92" s="33"/>
    </row>
    <row r="93">
      <c r="F93" s="33"/>
    </row>
    <row r="94">
      <c r="F94" s="33"/>
    </row>
    <row r="95">
      <c r="F95" s="33"/>
    </row>
    <row r="96">
      <c r="F96" s="33"/>
    </row>
    <row r="97">
      <c r="F97" s="34"/>
    </row>
    <row r="98">
      <c r="F98" s="33"/>
    </row>
    <row r="99">
      <c r="F99" s="33"/>
    </row>
    <row r="100">
      <c r="F100" s="34"/>
    </row>
    <row r="101">
      <c r="F101" s="33"/>
    </row>
    <row r="102">
      <c r="F102" s="34"/>
    </row>
    <row r="103">
      <c r="F103" s="33"/>
    </row>
    <row r="104">
      <c r="F104" s="33"/>
    </row>
    <row r="105">
      <c r="F105" s="34"/>
    </row>
    <row r="106">
      <c r="F106" s="33"/>
    </row>
    <row r="107">
      <c r="F107" s="33"/>
    </row>
    <row r="108">
      <c r="F108" s="33"/>
    </row>
    <row r="109">
      <c r="F109" s="33"/>
    </row>
    <row r="110">
      <c r="F110" s="33"/>
    </row>
    <row r="111">
      <c r="F111" s="33"/>
    </row>
    <row r="112">
      <c r="F112" s="33"/>
    </row>
    <row r="113">
      <c r="F113" s="34"/>
    </row>
    <row r="114">
      <c r="F114" s="33"/>
    </row>
    <row r="115">
      <c r="F115" s="33"/>
    </row>
    <row r="116">
      <c r="F116" s="34"/>
    </row>
    <row r="117">
      <c r="F117" s="33"/>
    </row>
    <row r="118">
      <c r="F118" s="33"/>
    </row>
    <row r="119">
      <c r="F119" s="33"/>
    </row>
    <row r="120">
      <c r="F120" s="34"/>
    </row>
    <row r="121">
      <c r="F121" s="34"/>
    </row>
    <row r="122">
      <c r="F122" s="33"/>
    </row>
    <row r="124">
      <c r="F124" s="34"/>
    </row>
    <row r="125">
      <c r="F125" s="33"/>
    </row>
    <row r="126">
      <c r="F126" s="33"/>
    </row>
    <row r="128">
      <c r="F128" s="33"/>
    </row>
    <row r="129">
      <c r="F129" s="33"/>
    </row>
    <row r="130">
      <c r="F130" s="33"/>
    </row>
    <row r="131">
      <c r="F131" s="33"/>
    </row>
    <row r="132">
      <c r="F132" s="33"/>
    </row>
    <row r="133">
      <c r="F133" s="33"/>
    </row>
    <row r="135">
      <c r="F135" s="34"/>
    </row>
    <row r="136">
      <c r="F136" s="33"/>
    </row>
    <row r="137">
      <c r="F137" s="33"/>
    </row>
    <row r="138">
      <c r="F138" s="33"/>
    </row>
    <row r="139">
      <c r="F139" s="34"/>
    </row>
    <row r="140">
      <c r="F140" s="34"/>
    </row>
    <row r="141">
      <c r="F141" s="33"/>
    </row>
    <row r="143">
      <c r="F143" s="34"/>
    </row>
    <row r="144">
      <c r="F144" s="33"/>
    </row>
    <row r="145">
      <c r="F145" s="33"/>
    </row>
    <row r="147">
      <c r="F147" s="33"/>
    </row>
    <row r="148">
      <c r="F148" s="33"/>
    </row>
    <row r="149">
      <c r="F149" s="33"/>
    </row>
    <row r="150">
      <c r="F150" s="33"/>
    </row>
    <row r="151">
      <c r="F151" s="33"/>
    </row>
    <row r="152">
      <c r="F152" s="33"/>
    </row>
    <row r="154">
      <c r="F154" s="34"/>
    </row>
    <row r="155">
      <c r="F155" s="33"/>
    </row>
    <row r="156">
      <c r="F156" s="33"/>
    </row>
    <row r="157">
      <c r="F157" s="33"/>
    </row>
    <row r="158">
      <c r="F158" s="33"/>
    </row>
    <row r="159">
      <c r="F159" s="34"/>
    </row>
    <row r="160">
      <c r="F160" s="33"/>
    </row>
    <row r="162">
      <c r="F162" s="34"/>
    </row>
    <row r="163">
      <c r="F163" s="33"/>
    </row>
    <row r="164">
      <c r="F164" s="33"/>
    </row>
    <row r="166">
      <c r="F166" s="33"/>
    </row>
    <row r="167">
      <c r="F167" s="33"/>
    </row>
    <row r="168">
      <c r="F168" s="33"/>
    </row>
    <row r="169">
      <c r="F169" s="33"/>
    </row>
    <row r="170">
      <c r="F170" s="33"/>
    </row>
    <row r="171">
      <c r="F171" s="33"/>
    </row>
    <row r="172">
      <c r="F172" s="33"/>
    </row>
    <row r="173">
      <c r="F173" s="34"/>
    </row>
    <row r="174">
      <c r="F174" s="33"/>
    </row>
    <row r="175">
      <c r="F175" s="33"/>
    </row>
    <row r="176">
      <c r="F176" s="33"/>
    </row>
    <row r="177">
      <c r="F177" s="33"/>
    </row>
    <row r="178">
      <c r="F178" s="34"/>
    </row>
    <row r="179">
      <c r="F179" s="33"/>
    </row>
    <row r="181">
      <c r="F181" s="34"/>
    </row>
    <row r="182">
      <c r="F182" s="33"/>
    </row>
    <row r="183">
      <c r="F183" s="33"/>
    </row>
    <row r="184">
      <c r="F184" s="33"/>
    </row>
    <row r="185">
      <c r="F185" s="33"/>
    </row>
    <row r="186">
      <c r="F186" s="34"/>
    </row>
    <row r="187">
      <c r="F187" s="33"/>
    </row>
    <row r="188">
      <c r="F188" s="33"/>
    </row>
    <row r="189">
      <c r="F189" s="33"/>
    </row>
    <row r="190">
      <c r="F190" s="33"/>
    </row>
    <row r="191">
      <c r="F191" s="33"/>
    </row>
    <row r="192">
      <c r="F192" s="34"/>
    </row>
    <row r="193">
      <c r="F193" s="33"/>
    </row>
    <row r="194">
      <c r="F194" s="33"/>
    </row>
    <row r="195">
      <c r="F195" s="33"/>
    </row>
    <row r="196">
      <c r="F196" s="33"/>
    </row>
    <row r="197">
      <c r="F197" s="34"/>
    </row>
    <row r="198">
      <c r="F198" s="33"/>
    </row>
    <row r="200">
      <c r="F200" s="34"/>
    </row>
    <row r="201">
      <c r="F201" s="33"/>
    </row>
    <row r="202">
      <c r="F202" s="33"/>
    </row>
    <row r="203">
      <c r="F203" s="33"/>
    </row>
    <row r="204">
      <c r="F204" s="33"/>
    </row>
    <row r="205">
      <c r="F205" s="33"/>
    </row>
    <row r="206">
      <c r="F206" s="33"/>
    </row>
    <row r="207">
      <c r="F207" s="33"/>
    </row>
    <row r="208">
      <c r="F208" s="33"/>
    </row>
    <row r="209">
      <c r="F209" s="33"/>
    </row>
    <row r="210">
      <c r="F210" s="33"/>
    </row>
    <row r="211">
      <c r="F211" s="34"/>
    </row>
    <row r="212">
      <c r="F212" s="33"/>
    </row>
    <row r="213">
      <c r="F213" s="33"/>
    </row>
    <row r="214">
      <c r="F214" s="33"/>
    </row>
    <row r="215">
      <c r="F215" s="33"/>
    </row>
    <row r="216">
      <c r="F216" s="34"/>
    </row>
    <row r="217">
      <c r="F217" s="33"/>
    </row>
    <row r="219">
      <c r="F219" s="34"/>
    </row>
    <row r="220">
      <c r="F220" s="33"/>
    </row>
    <row r="221">
      <c r="F221" s="33"/>
    </row>
    <row r="222">
      <c r="F222" s="33"/>
    </row>
    <row r="223">
      <c r="F223" s="33"/>
    </row>
    <row r="224">
      <c r="F224" s="33"/>
    </row>
    <row r="225">
      <c r="F225" s="33"/>
    </row>
    <row r="226">
      <c r="F226" s="33"/>
    </row>
    <row r="227">
      <c r="F227" s="33"/>
    </row>
    <row r="228">
      <c r="F228" s="33"/>
    </row>
    <row r="229">
      <c r="F229" s="33"/>
    </row>
    <row r="230">
      <c r="F230" s="34"/>
    </row>
    <row r="231">
      <c r="F231" s="33"/>
    </row>
    <row r="232">
      <c r="F232" s="33"/>
    </row>
    <row r="233">
      <c r="F233" s="33"/>
    </row>
    <row r="234">
      <c r="F234" s="33"/>
    </row>
    <row r="235">
      <c r="F235" s="34"/>
    </row>
    <row r="236">
      <c r="F236" s="33"/>
    </row>
    <row r="238">
      <c r="F238" s="34"/>
    </row>
    <row r="239">
      <c r="F239" s="33"/>
    </row>
    <row r="240">
      <c r="F240" s="33"/>
    </row>
    <row r="241">
      <c r="F241" s="33"/>
    </row>
    <row r="242">
      <c r="F242" s="33"/>
    </row>
    <row r="243">
      <c r="F243" s="33"/>
    </row>
    <row r="244">
      <c r="F244" s="33"/>
    </row>
    <row r="245">
      <c r="F245" s="33"/>
    </row>
    <row r="246">
      <c r="F246" s="33"/>
    </row>
    <row r="247">
      <c r="F247" s="33"/>
    </row>
    <row r="248">
      <c r="F248" s="33"/>
    </row>
    <row r="249">
      <c r="F249" s="34"/>
    </row>
    <row r="250">
      <c r="F250" s="33"/>
    </row>
    <row r="251">
      <c r="F251" s="33"/>
    </row>
    <row r="252">
      <c r="F252" s="33"/>
    </row>
    <row r="253">
      <c r="F253" s="33"/>
    </row>
    <row r="254">
      <c r="F254" s="34"/>
    </row>
    <row r="255">
      <c r="F255" s="33"/>
    </row>
    <row r="257">
      <c r="F257" s="34"/>
    </row>
    <row r="258">
      <c r="F258" s="33"/>
    </row>
    <row r="259">
      <c r="F259" s="33"/>
    </row>
    <row r="260">
      <c r="F260" s="33"/>
    </row>
    <row r="261">
      <c r="F261" s="33"/>
    </row>
    <row r="262">
      <c r="F262" s="33"/>
    </row>
    <row r="263">
      <c r="F263" s="33"/>
    </row>
    <row r="264">
      <c r="F264" s="33"/>
    </row>
    <row r="265">
      <c r="F265" s="33"/>
    </row>
    <row r="266">
      <c r="F266" s="33"/>
    </row>
    <row r="267">
      <c r="F267" s="33"/>
    </row>
    <row r="268">
      <c r="F268" s="34"/>
    </row>
    <row r="269">
      <c r="F269" s="33"/>
    </row>
    <row r="270">
      <c r="F270" s="33"/>
    </row>
    <row r="271">
      <c r="F271" s="33"/>
    </row>
    <row r="272">
      <c r="F272" s="33"/>
    </row>
    <row r="273">
      <c r="F273" s="34"/>
    </row>
    <row r="274">
      <c r="F274" s="33"/>
    </row>
    <row r="275">
      <c r="F275" s="33"/>
    </row>
    <row r="276">
      <c r="F276" s="34"/>
    </row>
    <row r="277">
      <c r="F277" s="33"/>
    </row>
    <row r="278">
      <c r="F278" s="34"/>
    </row>
    <row r="279">
      <c r="F279" s="33"/>
    </row>
    <row r="281">
      <c r="F281" s="34"/>
    </row>
    <row r="282">
      <c r="F282" s="33"/>
    </row>
    <row r="283">
      <c r="F283" s="33"/>
    </row>
    <row r="284">
      <c r="F284" s="33"/>
    </row>
    <row r="285">
      <c r="F285" s="33"/>
    </row>
    <row r="286">
      <c r="F286" s="33"/>
    </row>
    <row r="287">
      <c r="F287" s="33"/>
    </row>
    <row r="288">
      <c r="F288" s="33"/>
    </row>
    <row r="289">
      <c r="F289" s="33"/>
    </row>
    <row r="290">
      <c r="F290" s="33"/>
    </row>
    <row r="291">
      <c r="F291" s="33"/>
    </row>
    <row r="292">
      <c r="F292" s="34"/>
    </row>
    <row r="293">
      <c r="F293" s="33"/>
    </row>
    <row r="294">
      <c r="F294" s="33"/>
    </row>
    <row r="295">
      <c r="F295" s="34"/>
    </row>
    <row r="296">
      <c r="F296" s="33"/>
    </row>
    <row r="297">
      <c r="F297" s="34"/>
    </row>
    <row r="298">
      <c r="F298" s="33"/>
    </row>
    <row r="300">
      <c r="F300" s="33"/>
    </row>
    <row r="301">
      <c r="F301" s="33"/>
    </row>
    <row r="302">
      <c r="F302" s="33"/>
    </row>
    <row r="303">
      <c r="F303" s="33"/>
    </row>
    <row r="304">
      <c r="F304" s="33"/>
    </row>
    <row r="305">
      <c r="F305" s="33"/>
    </row>
    <row r="306">
      <c r="F306" s="33"/>
    </row>
    <row r="307">
      <c r="F307" s="33"/>
    </row>
    <row r="308">
      <c r="F308" s="33"/>
    </row>
    <row r="309">
      <c r="F309" s="33"/>
    </row>
    <row r="310">
      <c r="F310" s="33"/>
    </row>
    <row r="311">
      <c r="F311" s="34"/>
    </row>
    <row r="312">
      <c r="F312" s="33"/>
    </row>
    <row r="313">
      <c r="F313" s="33"/>
    </row>
    <row r="314">
      <c r="F314" s="34"/>
    </row>
    <row r="315">
      <c r="F315" s="33"/>
    </row>
    <row r="316">
      <c r="F316" s="34"/>
    </row>
    <row r="317">
      <c r="F317" s="34"/>
    </row>
    <row r="319">
      <c r="F319" s="33"/>
    </row>
    <row r="320">
      <c r="F320" s="33"/>
    </row>
    <row r="321">
      <c r="F321" s="33"/>
    </row>
    <row r="322">
      <c r="F322" s="33"/>
    </row>
    <row r="323">
      <c r="F323" s="33"/>
    </row>
    <row r="324">
      <c r="F324" s="33"/>
    </row>
    <row r="325">
      <c r="F325" s="33"/>
    </row>
    <row r="326">
      <c r="F326" s="33"/>
    </row>
    <row r="327">
      <c r="F327" s="33"/>
    </row>
    <row r="328">
      <c r="F328" s="33"/>
    </row>
    <row r="329">
      <c r="F329" s="33"/>
    </row>
    <row r="330">
      <c r="F330" s="34"/>
    </row>
    <row r="331">
      <c r="F331" s="33"/>
    </row>
    <row r="332">
      <c r="F332" s="33"/>
    </row>
    <row r="333">
      <c r="F333" s="34"/>
    </row>
    <row r="334">
      <c r="F334" s="33"/>
    </row>
    <row r="335">
      <c r="F335" s="34"/>
    </row>
    <row r="336">
      <c r="F336" s="34"/>
    </row>
    <row r="338">
      <c r="F338" s="33"/>
    </row>
    <row r="339">
      <c r="F339" s="33"/>
    </row>
    <row r="340">
      <c r="F340" s="33"/>
    </row>
    <row r="341">
      <c r="F341" s="33"/>
    </row>
    <row r="342">
      <c r="F342" s="33"/>
    </row>
    <row r="343">
      <c r="F343" s="33"/>
    </row>
    <row r="344">
      <c r="F344" s="33"/>
    </row>
    <row r="345">
      <c r="F345" s="33"/>
    </row>
    <row r="346">
      <c r="F346" s="33"/>
    </row>
    <row r="347">
      <c r="F347" s="33"/>
    </row>
    <row r="348">
      <c r="F348" s="33"/>
    </row>
    <row r="349">
      <c r="F349" s="34"/>
    </row>
    <row r="350">
      <c r="F350" s="33"/>
    </row>
    <row r="351">
      <c r="F351" s="33"/>
    </row>
    <row r="352">
      <c r="F352" s="34"/>
    </row>
    <row r="353">
      <c r="F353" s="33"/>
    </row>
    <row r="354">
      <c r="F354" s="34"/>
    </row>
    <row r="355">
      <c r="F355" s="34"/>
    </row>
    <row r="357">
      <c r="F357" s="33"/>
    </row>
    <row r="358">
      <c r="F358" s="33"/>
    </row>
    <row r="359">
      <c r="F359" s="33"/>
    </row>
    <row r="360">
      <c r="F360" s="33"/>
    </row>
    <row r="361">
      <c r="F361" s="33"/>
    </row>
    <row r="362">
      <c r="F362" s="33"/>
    </row>
    <row r="363">
      <c r="F363" s="33"/>
    </row>
    <row r="364">
      <c r="F364" s="33"/>
    </row>
    <row r="365">
      <c r="F365" s="33"/>
    </row>
    <row r="366">
      <c r="F366" s="33"/>
    </row>
    <row r="367">
      <c r="F367" s="33"/>
    </row>
    <row r="368">
      <c r="F368" s="34"/>
    </row>
    <row r="369">
      <c r="F369" s="33"/>
    </row>
    <row r="370">
      <c r="F370" s="33"/>
    </row>
    <row r="371">
      <c r="F371" s="34"/>
    </row>
    <row r="372">
      <c r="F372" s="33"/>
    </row>
    <row r="373">
      <c r="F373" s="34"/>
    </row>
    <row r="374">
      <c r="F374" s="33"/>
    </row>
    <row r="376">
      <c r="F376" s="33"/>
    </row>
    <row r="377">
      <c r="F377" s="33"/>
    </row>
    <row r="378">
      <c r="F378" s="33"/>
    </row>
    <row r="379">
      <c r="F379" s="33"/>
    </row>
    <row r="380">
      <c r="F380" s="33"/>
    </row>
    <row r="381">
      <c r="F381" s="33"/>
    </row>
    <row r="382">
      <c r="F382" s="33"/>
    </row>
    <row r="383">
      <c r="F383" s="33"/>
    </row>
    <row r="384">
      <c r="F384" s="33"/>
    </row>
    <row r="385">
      <c r="F385" s="33"/>
    </row>
    <row r="386">
      <c r="F386" s="34"/>
    </row>
    <row r="387">
      <c r="F387" s="34"/>
    </row>
    <row r="388">
      <c r="F388" s="33"/>
    </row>
    <row r="389">
      <c r="F389" s="33"/>
    </row>
    <row r="390">
      <c r="F390" s="34"/>
    </row>
    <row r="391">
      <c r="F391" s="33"/>
    </row>
    <row r="392">
      <c r="F392" s="34"/>
    </row>
    <row r="393">
      <c r="F393" s="33"/>
    </row>
    <row r="395">
      <c r="F395" s="33"/>
    </row>
    <row r="396">
      <c r="F396" s="33"/>
    </row>
    <row r="397">
      <c r="F397" s="33"/>
    </row>
    <row r="398">
      <c r="F398" s="33"/>
    </row>
    <row r="399">
      <c r="F399" s="33"/>
    </row>
    <row r="400">
      <c r="F400" s="33"/>
    </row>
    <row r="401">
      <c r="F401" s="33"/>
    </row>
    <row r="402">
      <c r="F402" s="33"/>
    </row>
    <row r="403">
      <c r="F403" s="33"/>
    </row>
    <row r="404">
      <c r="F404" s="33"/>
    </row>
    <row r="405">
      <c r="F405" s="34"/>
    </row>
    <row r="406">
      <c r="F406" s="34"/>
    </row>
    <row r="407">
      <c r="F407" s="33"/>
    </row>
    <row r="408">
      <c r="F408" s="33"/>
    </row>
    <row r="409">
      <c r="F409" s="34"/>
    </row>
    <row r="410">
      <c r="F410" s="33"/>
    </row>
    <row r="411">
      <c r="F411" s="34"/>
    </row>
    <row r="412">
      <c r="F412" s="33"/>
    </row>
    <row r="414">
      <c r="F414" s="33"/>
    </row>
    <row r="415">
      <c r="F415" s="33"/>
    </row>
    <row r="416">
      <c r="F416" s="33"/>
    </row>
    <row r="417">
      <c r="F417" s="33"/>
    </row>
    <row r="418">
      <c r="F418" s="33"/>
    </row>
    <row r="419">
      <c r="F419" s="33"/>
    </row>
    <row r="420">
      <c r="F420" s="33"/>
    </row>
    <row r="421">
      <c r="F421" s="33"/>
    </row>
    <row r="422">
      <c r="F422" s="33"/>
    </row>
    <row r="423">
      <c r="F423" s="33"/>
    </row>
    <row r="424">
      <c r="F424" s="34"/>
    </row>
    <row r="425">
      <c r="F425" s="34"/>
    </row>
    <row r="426">
      <c r="F426" s="33"/>
    </row>
    <row r="427">
      <c r="F427" s="33"/>
    </row>
    <row r="428">
      <c r="F428" s="34"/>
    </row>
    <row r="429">
      <c r="F429" s="33"/>
    </row>
    <row r="430">
      <c r="F430" s="34"/>
    </row>
    <row r="431">
      <c r="F431" s="33"/>
    </row>
    <row r="433">
      <c r="F433" s="33"/>
    </row>
    <row r="434">
      <c r="F434" s="33"/>
    </row>
    <row r="435">
      <c r="F435" s="33"/>
    </row>
    <row r="436">
      <c r="F436" s="33"/>
    </row>
    <row r="437">
      <c r="F437" s="33"/>
    </row>
    <row r="438">
      <c r="F438" s="33"/>
    </row>
    <row r="439">
      <c r="F439" s="33"/>
    </row>
    <row r="440">
      <c r="F440" s="33"/>
    </row>
    <row r="441">
      <c r="F441" s="33"/>
    </row>
    <row r="442">
      <c r="F442" s="33"/>
    </row>
    <row r="443">
      <c r="F443" s="34"/>
    </row>
    <row r="444">
      <c r="F444" s="34"/>
    </row>
    <row r="445">
      <c r="F445" s="34"/>
    </row>
    <row r="446">
      <c r="F446" s="34"/>
    </row>
    <row r="447">
      <c r="F447" s="34"/>
    </row>
    <row r="448">
      <c r="F448" s="34"/>
    </row>
    <row r="449">
      <c r="F449" s="34"/>
    </row>
    <row r="450">
      <c r="F450" s="34"/>
    </row>
    <row r="451">
      <c r="F451" s="34"/>
    </row>
    <row r="452">
      <c r="F452" s="34"/>
    </row>
    <row r="453">
      <c r="F453" s="34"/>
    </row>
    <row r="454">
      <c r="F454" s="34"/>
    </row>
    <row r="455">
      <c r="F455" s="34"/>
    </row>
    <row r="456">
      <c r="F456" s="34"/>
    </row>
    <row r="457">
      <c r="F457" s="34"/>
    </row>
    <row r="458">
      <c r="F458" s="34"/>
    </row>
    <row r="459">
      <c r="F459" s="34"/>
    </row>
    <row r="460">
      <c r="F460" s="34"/>
    </row>
    <row r="461">
      <c r="F461" s="34"/>
    </row>
    <row r="462">
      <c r="F462" s="34"/>
    </row>
    <row r="463">
      <c r="F463" s="34"/>
    </row>
    <row r="464">
      <c r="F464" s="34"/>
    </row>
    <row r="465">
      <c r="F465" s="34"/>
    </row>
    <row r="466">
      <c r="F466" s="34"/>
    </row>
    <row r="467">
      <c r="F467" s="34"/>
    </row>
    <row r="468">
      <c r="F468" s="34"/>
    </row>
    <row r="469">
      <c r="F469" s="34"/>
    </row>
    <row r="470">
      <c r="F470" s="34"/>
    </row>
    <row r="471">
      <c r="F471" s="34"/>
    </row>
    <row r="472">
      <c r="F472" s="34"/>
    </row>
    <row r="473">
      <c r="F473" s="34"/>
    </row>
    <row r="474">
      <c r="F474" s="34"/>
    </row>
    <row r="475">
      <c r="F475" s="34"/>
    </row>
    <row r="476">
      <c r="F476" s="34"/>
    </row>
    <row r="477">
      <c r="F477" s="34"/>
    </row>
    <row r="478">
      <c r="F478" s="34"/>
    </row>
    <row r="479">
      <c r="F479" s="34"/>
    </row>
    <row r="480">
      <c r="F480" s="34"/>
    </row>
    <row r="481">
      <c r="F481" s="34"/>
    </row>
    <row r="482">
      <c r="F482" s="34"/>
    </row>
    <row r="483">
      <c r="F483" s="34"/>
    </row>
    <row r="484">
      <c r="F484" s="34"/>
    </row>
    <row r="485">
      <c r="A485" s="7"/>
      <c r="B485" s="8"/>
      <c r="C485" s="8"/>
      <c r="D485" s="8"/>
      <c r="E485" s="8"/>
      <c r="F485" s="34"/>
    </row>
    <row r="486">
      <c r="A486" s="7"/>
      <c r="B486" s="8"/>
      <c r="C486" s="8"/>
      <c r="D486" s="8"/>
      <c r="E486" s="8"/>
      <c r="F486" s="34"/>
    </row>
    <row r="487">
      <c r="A487" s="7"/>
      <c r="B487" s="8"/>
      <c r="C487" s="8"/>
      <c r="D487" s="8"/>
      <c r="E487" s="8"/>
      <c r="F487" s="34"/>
    </row>
    <row r="488">
      <c r="A488" s="7"/>
      <c r="B488" s="8"/>
      <c r="C488" s="8"/>
      <c r="D488" s="8"/>
      <c r="E488" s="8"/>
      <c r="F488" s="34"/>
    </row>
    <row r="489">
      <c r="A489" s="7"/>
      <c r="B489" s="8"/>
      <c r="C489" s="8"/>
      <c r="D489" s="8"/>
      <c r="E489" s="8"/>
      <c r="F489" s="34"/>
    </row>
    <row r="490">
      <c r="A490" s="7"/>
      <c r="B490" s="8"/>
      <c r="C490" s="8"/>
      <c r="D490" s="8"/>
      <c r="E490" s="8"/>
      <c r="F490" s="34"/>
    </row>
    <row r="491">
      <c r="A491" s="7"/>
      <c r="B491" s="8"/>
      <c r="C491" s="8"/>
      <c r="D491" s="8"/>
      <c r="E491" s="8"/>
      <c r="F491" s="34"/>
    </row>
    <row r="492">
      <c r="A492" s="7"/>
      <c r="B492" s="8"/>
      <c r="C492" s="8"/>
      <c r="D492" s="8"/>
      <c r="E492" s="8"/>
      <c r="F492" s="34"/>
    </row>
    <row r="493">
      <c r="A493" s="7"/>
      <c r="B493" s="8"/>
      <c r="C493" s="8"/>
      <c r="D493" s="8"/>
      <c r="E493" s="8"/>
      <c r="F493" s="34"/>
    </row>
    <row r="494">
      <c r="A494" s="7"/>
      <c r="B494" s="8"/>
      <c r="C494" s="8"/>
      <c r="D494" s="8"/>
      <c r="E494" s="8"/>
      <c r="F494" s="34"/>
    </row>
    <row r="495">
      <c r="A495" s="7"/>
      <c r="B495" s="8"/>
      <c r="C495" s="8"/>
      <c r="D495" s="8"/>
      <c r="E495" s="8"/>
      <c r="F495" s="34"/>
    </row>
    <row r="496">
      <c r="A496" s="7"/>
      <c r="B496" s="8"/>
      <c r="C496" s="8"/>
      <c r="D496" s="8"/>
      <c r="E496" s="8"/>
      <c r="F496" s="34"/>
    </row>
    <row r="497">
      <c r="A497" s="7"/>
      <c r="B497" s="8"/>
      <c r="C497" s="8"/>
      <c r="D497" s="8"/>
      <c r="E497" s="8"/>
      <c r="F497" s="34"/>
    </row>
    <row r="498">
      <c r="A498" s="7"/>
      <c r="B498" s="8"/>
      <c r="C498" s="8"/>
      <c r="D498" s="8"/>
      <c r="E498" s="8"/>
      <c r="F498" s="34"/>
    </row>
    <row r="499">
      <c r="A499" s="7"/>
      <c r="B499" s="8"/>
      <c r="C499" s="8"/>
      <c r="D499" s="8"/>
      <c r="E499" s="8"/>
      <c r="F499" s="34"/>
    </row>
    <row r="500">
      <c r="A500" s="7"/>
      <c r="B500" s="8"/>
      <c r="C500" s="8"/>
      <c r="D500" s="8"/>
      <c r="E500" s="8"/>
      <c r="F500" s="34"/>
    </row>
    <row r="501">
      <c r="A501" s="7"/>
      <c r="B501" s="8"/>
      <c r="C501" s="8"/>
      <c r="D501" s="8"/>
      <c r="E501" s="8"/>
      <c r="F501" s="34"/>
    </row>
    <row r="502">
      <c r="A502" s="7"/>
      <c r="B502" s="8"/>
      <c r="C502" s="8"/>
      <c r="D502" s="8"/>
      <c r="E502" s="8"/>
      <c r="F502" s="34"/>
    </row>
    <row r="503">
      <c r="A503" s="7"/>
      <c r="B503" s="8"/>
      <c r="C503" s="8"/>
      <c r="D503" s="8"/>
      <c r="E503" s="8"/>
      <c r="F503" s="34"/>
    </row>
    <row r="504">
      <c r="A504" s="7"/>
      <c r="B504" s="8"/>
      <c r="C504" s="8"/>
      <c r="D504" s="8"/>
      <c r="E504" s="8"/>
      <c r="F504" s="34"/>
    </row>
    <row r="505">
      <c r="A505" s="7"/>
      <c r="B505" s="8"/>
      <c r="C505" s="8"/>
      <c r="D505" s="8"/>
      <c r="E505" s="8"/>
      <c r="F505" s="34"/>
    </row>
    <row r="506">
      <c r="A506" s="7"/>
      <c r="B506" s="8"/>
      <c r="C506" s="8"/>
      <c r="D506" s="8"/>
      <c r="E506" s="8"/>
      <c r="F506" s="34"/>
    </row>
    <row r="507">
      <c r="A507" s="7"/>
      <c r="B507" s="8"/>
      <c r="C507" s="8"/>
      <c r="D507" s="8"/>
      <c r="E507" s="8"/>
      <c r="F507" s="34"/>
    </row>
    <row r="508">
      <c r="A508" s="7"/>
      <c r="B508" s="8"/>
      <c r="C508" s="8"/>
      <c r="D508" s="8"/>
      <c r="E508" s="8"/>
      <c r="F508" s="34"/>
    </row>
    <row r="509">
      <c r="A509" s="7"/>
      <c r="B509" s="8"/>
      <c r="C509" s="8"/>
      <c r="D509" s="8"/>
      <c r="E509" s="8"/>
      <c r="F509" s="34"/>
    </row>
    <row r="510">
      <c r="A510" s="7"/>
      <c r="B510" s="8"/>
      <c r="C510" s="8"/>
      <c r="D510" s="8"/>
      <c r="E510" s="8"/>
      <c r="F510" s="34"/>
    </row>
    <row r="511">
      <c r="A511" s="7"/>
      <c r="B511" s="8"/>
      <c r="C511" s="8"/>
      <c r="D511" s="8"/>
      <c r="E511" s="8"/>
      <c r="F511" s="34"/>
    </row>
    <row r="512">
      <c r="A512" s="7"/>
      <c r="B512" s="8"/>
      <c r="C512" s="8"/>
      <c r="D512" s="8"/>
      <c r="E512" s="8"/>
      <c r="F512" s="34"/>
    </row>
    <row r="513">
      <c r="A513" s="7"/>
      <c r="B513" s="8"/>
      <c r="C513" s="8"/>
      <c r="D513" s="8"/>
      <c r="E513" s="8"/>
      <c r="F513" s="34"/>
    </row>
    <row r="514">
      <c r="A514" s="7"/>
      <c r="B514" s="8"/>
      <c r="C514" s="8"/>
      <c r="D514" s="8"/>
      <c r="E514" s="8"/>
      <c r="F514" s="34"/>
    </row>
    <row r="515">
      <c r="A515" s="7"/>
      <c r="B515" s="8"/>
      <c r="C515" s="8"/>
      <c r="D515" s="8"/>
      <c r="E515" s="8"/>
      <c r="F515" s="34"/>
    </row>
    <row r="516">
      <c r="A516" s="7"/>
      <c r="B516" s="8"/>
      <c r="C516" s="8"/>
      <c r="D516" s="8"/>
      <c r="E516" s="8"/>
      <c r="F516" s="34"/>
    </row>
    <row r="517">
      <c r="A517" s="7"/>
      <c r="B517" s="8"/>
      <c r="C517" s="8"/>
      <c r="D517" s="8"/>
      <c r="E517" s="8"/>
      <c r="F517" s="34"/>
    </row>
    <row r="518">
      <c r="A518" s="7"/>
      <c r="B518" s="8"/>
      <c r="C518" s="8"/>
      <c r="D518" s="8"/>
      <c r="E518" s="8"/>
      <c r="F518" s="34"/>
    </row>
    <row r="519">
      <c r="A519" s="7"/>
      <c r="B519" s="8"/>
      <c r="C519" s="8"/>
      <c r="D519" s="8"/>
      <c r="E519" s="8"/>
      <c r="F519" s="34"/>
    </row>
    <row r="520">
      <c r="A520" s="7"/>
      <c r="B520" s="8"/>
      <c r="C520" s="8"/>
      <c r="D520" s="8"/>
      <c r="E520" s="8"/>
      <c r="F520" s="34"/>
    </row>
    <row r="521">
      <c r="A521" s="7"/>
      <c r="B521" s="8"/>
      <c r="C521" s="8"/>
      <c r="D521" s="8"/>
      <c r="E521" s="8"/>
      <c r="F521" s="34"/>
    </row>
    <row r="522">
      <c r="A522" s="7"/>
      <c r="B522" s="8"/>
      <c r="C522" s="8"/>
      <c r="D522" s="8"/>
      <c r="E522" s="8"/>
      <c r="F522" s="34"/>
    </row>
    <row r="523">
      <c r="A523" s="7"/>
      <c r="B523" s="8"/>
      <c r="C523" s="8"/>
      <c r="D523" s="8"/>
      <c r="E523" s="8"/>
      <c r="F523" s="34"/>
    </row>
    <row r="524">
      <c r="A524" s="7"/>
      <c r="B524" s="8"/>
      <c r="C524" s="8"/>
      <c r="D524" s="8"/>
      <c r="E524" s="8"/>
      <c r="F524" s="34"/>
    </row>
    <row r="525">
      <c r="A525" s="7"/>
      <c r="B525" s="8"/>
      <c r="C525" s="8"/>
      <c r="D525" s="8"/>
      <c r="E525" s="8"/>
      <c r="F525" s="34"/>
    </row>
    <row r="526">
      <c r="A526" s="7"/>
      <c r="B526" s="8"/>
      <c r="C526" s="8"/>
      <c r="D526" s="8"/>
      <c r="E526" s="8"/>
      <c r="F526" s="34"/>
    </row>
    <row r="527">
      <c r="A527" s="7"/>
      <c r="B527" s="8"/>
      <c r="C527" s="8"/>
      <c r="D527" s="8"/>
      <c r="E527" s="8"/>
      <c r="F527" s="34"/>
    </row>
    <row r="528">
      <c r="A528" s="7"/>
      <c r="B528" s="8"/>
      <c r="C528" s="8"/>
      <c r="D528" s="8"/>
      <c r="E528" s="8"/>
      <c r="F528" s="34"/>
    </row>
    <row r="529">
      <c r="A529" s="7"/>
      <c r="B529" s="8"/>
      <c r="C529" s="8"/>
      <c r="D529" s="8"/>
      <c r="E529" s="8"/>
      <c r="F529" s="34"/>
    </row>
    <row r="530">
      <c r="A530" s="7"/>
      <c r="B530" s="8"/>
      <c r="C530" s="8"/>
      <c r="D530" s="8"/>
      <c r="E530" s="8"/>
      <c r="F530" s="34"/>
    </row>
    <row r="531">
      <c r="A531" s="7"/>
      <c r="B531" s="8"/>
      <c r="C531" s="8"/>
      <c r="D531" s="8"/>
      <c r="E531" s="8"/>
      <c r="F531" s="34"/>
    </row>
    <row r="532">
      <c r="A532" s="7"/>
      <c r="B532" s="8"/>
      <c r="C532" s="8"/>
      <c r="D532" s="8"/>
      <c r="E532" s="8"/>
      <c r="F532" s="34"/>
    </row>
    <row r="533">
      <c r="A533" s="7"/>
      <c r="B533" s="8"/>
      <c r="C533" s="8"/>
      <c r="D533" s="8"/>
      <c r="E533" s="8"/>
      <c r="F533" s="34"/>
    </row>
    <row r="534">
      <c r="A534" s="7"/>
      <c r="B534" s="8"/>
      <c r="C534" s="8"/>
      <c r="D534" s="8"/>
      <c r="E534" s="8"/>
      <c r="F534" s="34"/>
    </row>
    <row r="535">
      <c r="A535" s="7"/>
      <c r="B535" s="8"/>
      <c r="C535" s="8"/>
      <c r="D535" s="8"/>
      <c r="E535" s="8"/>
      <c r="F535" s="34"/>
    </row>
    <row r="536">
      <c r="A536" s="7"/>
      <c r="B536" s="8"/>
      <c r="C536" s="8"/>
      <c r="D536" s="8"/>
      <c r="E536" s="8"/>
      <c r="F536" s="34"/>
    </row>
    <row r="537">
      <c r="A537" s="7"/>
      <c r="B537" s="8"/>
      <c r="C537" s="8"/>
      <c r="D537" s="8"/>
      <c r="E537" s="8"/>
      <c r="F537" s="34"/>
    </row>
    <row r="538">
      <c r="A538" s="7"/>
      <c r="B538" s="8"/>
      <c r="C538" s="8"/>
      <c r="D538" s="8"/>
      <c r="E538" s="8"/>
      <c r="F538" s="34"/>
    </row>
    <row r="539">
      <c r="A539" s="7"/>
      <c r="B539" s="8"/>
      <c r="C539" s="8"/>
      <c r="D539" s="8"/>
      <c r="E539" s="8"/>
      <c r="F539" s="34"/>
    </row>
    <row r="540">
      <c r="A540" s="7"/>
      <c r="B540" s="8"/>
      <c r="C540" s="8"/>
      <c r="D540" s="8"/>
      <c r="E540" s="8"/>
      <c r="F540" s="34"/>
    </row>
    <row r="541">
      <c r="A541" s="7"/>
      <c r="B541" s="8"/>
      <c r="C541" s="8"/>
      <c r="D541" s="8"/>
      <c r="E541" s="8"/>
      <c r="F541" s="34"/>
    </row>
    <row r="542">
      <c r="A542" s="7"/>
      <c r="B542" s="8"/>
      <c r="C542" s="8"/>
      <c r="D542" s="8"/>
      <c r="E542" s="8"/>
      <c r="F542" s="34"/>
    </row>
    <row r="543">
      <c r="A543" s="7"/>
      <c r="B543" s="8"/>
      <c r="C543" s="8"/>
      <c r="D543" s="8"/>
      <c r="E543" s="8"/>
      <c r="F543" s="34"/>
    </row>
    <row r="544">
      <c r="A544" s="7"/>
      <c r="B544" s="8"/>
      <c r="C544" s="8"/>
      <c r="D544" s="8"/>
      <c r="E544" s="8"/>
      <c r="F544" s="34"/>
    </row>
    <row r="545">
      <c r="A545" s="7"/>
      <c r="B545" s="8"/>
      <c r="C545" s="8"/>
      <c r="D545" s="8"/>
      <c r="E545" s="8"/>
      <c r="F545" s="34"/>
    </row>
    <row r="546">
      <c r="A546" s="7"/>
      <c r="B546" s="8"/>
      <c r="C546" s="8"/>
      <c r="D546" s="8"/>
      <c r="E546" s="8"/>
      <c r="F546" s="34"/>
    </row>
    <row r="547">
      <c r="A547" s="7"/>
      <c r="B547" s="8"/>
      <c r="C547" s="8"/>
      <c r="D547" s="8"/>
      <c r="E547" s="8"/>
      <c r="F547" s="34"/>
    </row>
    <row r="548">
      <c r="A548" s="7"/>
      <c r="B548" s="8"/>
      <c r="C548" s="8"/>
      <c r="D548" s="8"/>
      <c r="E548" s="8"/>
      <c r="F548" s="34"/>
    </row>
    <row r="549">
      <c r="A549" s="7"/>
      <c r="B549" s="8"/>
      <c r="C549" s="8"/>
      <c r="D549" s="8"/>
      <c r="E549" s="8"/>
      <c r="F549" s="34"/>
    </row>
    <row r="550">
      <c r="A550" s="7"/>
      <c r="B550" s="8"/>
      <c r="C550" s="8"/>
      <c r="D550" s="8"/>
      <c r="E550" s="8"/>
      <c r="F550" s="34"/>
    </row>
    <row r="551">
      <c r="A551" s="7"/>
      <c r="B551" s="8"/>
      <c r="C551" s="8"/>
      <c r="D551" s="8"/>
      <c r="E551" s="8"/>
      <c r="F551" s="34"/>
    </row>
    <row r="552">
      <c r="A552" s="7"/>
      <c r="B552" s="8"/>
      <c r="C552" s="8"/>
      <c r="D552" s="8"/>
      <c r="E552" s="8"/>
      <c r="F552" s="34"/>
    </row>
    <row r="553">
      <c r="A553" s="7"/>
      <c r="B553" s="8"/>
      <c r="C553" s="8"/>
      <c r="D553" s="8"/>
      <c r="E553" s="8"/>
      <c r="F553" s="34"/>
    </row>
    <row r="554">
      <c r="A554" s="7"/>
      <c r="B554" s="8"/>
      <c r="C554" s="8"/>
      <c r="D554" s="8"/>
      <c r="E554" s="8"/>
      <c r="F554" s="34"/>
    </row>
    <row r="555">
      <c r="A555" s="7"/>
      <c r="B555" s="8"/>
      <c r="C555" s="8"/>
      <c r="D555" s="8"/>
      <c r="E555" s="8"/>
      <c r="F555" s="34"/>
    </row>
    <row r="556">
      <c r="A556" s="7"/>
      <c r="B556" s="8"/>
      <c r="C556" s="8"/>
      <c r="D556" s="8"/>
      <c r="E556" s="8"/>
      <c r="F556" s="34"/>
    </row>
    <row r="557">
      <c r="A557" s="7"/>
      <c r="B557" s="8"/>
      <c r="C557" s="8"/>
      <c r="D557" s="8"/>
      <c r="E557" s="8"/>
      <c r="F557" s="34"/>
    </row>
    <row r="558">
      <c r="A558" s="7"/>
      <c r="B558" s="8"/>
      <c r="C558" s="8"/>
      <c r="D558" s="8"/>
      <c r="E558" s="8"/>
      <c r="F558" s="34"/>
    </row>
    <row r="559">
      <c r="A559" s="7"/>
      <c r="B559" s="8"/>
      <c r="C559" s="8"/>
      <c r="D559" s="8"/>
      <c r="E559" s="8"/>
      <c r="F559" s="34"/>
    </row>
    <row r="560">
      <c r="A560" s="7"/>
      <c r="B560" s="8"/>
      <c r="C560" s="8"/>
      <c r="D560" s="8"/>
      <c r="E560" s="8"/>
      <c r="F560" s="34"/>
    </row>
    <row r="561">
      <c r="A561" s="7"/>
      <c r="B561" s="8"/>
      <c r="C561" s="8"/>
      <c r="D561" s="8"/>
      <c r="E561" s="8"/>
      <c r="F561" s="34"/>
    </row>
    <row r="562">
      <c r="A562" s="7"/>
      <c r="B562" s="8"/>
      <c r="C562" s="8"/>
      <c r="D562" s="8"/>
      <c r="E562" s="8"/>
      <c r="F562" s="34"/>
    </row>
    <row r="563">
      <c r="A563" s="7"/>
      <c r="B563" s="8"/>
      <c r="C563" s="8"/>
      <c r="D563" s="8"/>
      <c r="E563" s="8"/>
      <c r="F563" s="34"/>
    </row>
    <row r="564">
      <c r="A564" s="7"/>
      <c r="B564" s="8"/>
      <c r="C564" s="8"/>
      <c r="D564" s="8"/>
      <c r="E564" s="8"/>
      <c r="F564" s="34"/>
    </row>
    <row r="565">
      <c r="A565" s="7"/>
      <c r="B565" s="8"/>
      <c r="C565" s="8"/>
      <c r="D565" s="8"/>
      <c r="E565" s="8"/>
      <c r="F565" s="34"/>
    </row>
    <row r="566">
      <c r="A566" s="7"/>
      <c r="B566" s="8"/>
      <c r="C566" s="8"/>
      <c r="D566" s="8"/>
      <c r="E566" s="8"/>
      <c r="F566" s="34"/>
    </row>
    <row r="567">
      <c r="A567" s="7"/>
      <c r="B567" s="8"/>
      <c r="C567" s="8"/>
      <c r="D567" s="8"/>
      <c r="E567" s="8"/>
      <c r="F567" s="34"/>
    </row>
    <row r="568">
      <c r="A568" s="7"/>
      <c r="B568" s="8"/>
      <c r="C568" s="8"/>
      <c r="D568" s="8"/>
      <c r="E568" s="8"/>
      <c r="F568" s="34"/>
    </row>
    <row r="569">
      <c r="A569" s="7"/>
      <c r="B569" s="8"/>
      <c r="C569" s="8"/>
      <c r="D569" s="8"/>
      <c r="E569" s="8"/>
      <c r="F569" s="34"/>
    </row>
    <row r="570">
      <c r="A570" s="7"/>
      <c r="B570" s="8"/>
      <c r="C570" s="8"/>
      <c r="D570" s="8"/>
      <c r="E570" s="8"/>
      <c r="F570" s="34"/>
    </row>
    <row r="571">
      <c r="A571" s="7"/>
      <c r="B571" s="8"/>
      <c r="C571" s="8"/>
      <c r="D571" s="8"/>
      <c r="E571" s="8"/>
      <c r="F571" s="34"/>
    </row>
    <row r="572">
      <c r="A572" s="7"/>
      <c r="B572" s="8"/>
      <c r="C572" s="8"/>
      <c r="D572" s="8"/>
      <c r="E572" s="8"/>
      <c r="F572" s="34"/>
    </row>
    <row r="573">
      <c r="A573" s="7"/>
      <c r="B573" s="8"/>
      <c r="C573" s="8"/>
      <c r="D573" s="8"/>
      <c r="E573" s="8"/>
      <c r="F573" s="34"/>
    </row>
    <row r="574">
      <c r="A574" s="7"/>
      <c r="B574" s="8"/>
      <c r="C574" s="8"/>
      <c r="D574" s="8"/>
      <c r="E574" s="8"/>
      <c r="F574" s="34"/>
    </row>
    <row r="575">
      <c r="A575" s="7"/>
      <c r="B575" s="8"/>
      <c r="C575" s="8"/>
      <c r="D575" s="8"/>
      <c r="E575" s="8"/>
      <c r="F575" s="34"/>
    </row>
    <row r="576">
      <c r="A576" s="7"/>
      <c r="B576" s="8"/>
      <c r="C576" s="8"/>
      <c r="D576" s="8"/>
      <c r="E576" s="8"/>
      <c r="F576" s="34"/>
    </row>
    <row r="577">
      <c r="A577" s="7"/>
      <c r="B577" s="8"/>
      <c r="C577" s="8"/>
      <c r="D577" s="8"/>
      <c r="E577" s="8"/>
      <c r="F577" s="34"/>
    </row>
    <row r="578">
      <c r="A578" s="7"/>
      <c r="B578" s="8"/>
      <c r="C578" s="8"/>
      <c r="D578" s="8"/>
      <c r="E578" s="8"/>
      <c r="F578" s="34"/>
    </row>
    <row r="579">
      <c r="A579" s="7"/>
      <c r="B579" s="8"/>
      <c r="C579" s="8"/>
      <c r="D579" s="8"/>
      <c r="E579" s="8"/>
      <c r="F579" s="34"/>
    </row>
    <row r="580">
      <c r="A580" s="7"/>
      <c r="B580" s="8"/>
      <c r="C580" s="8"/>
      <c r="D580" s="8"/>
      <c r="E580" s="8"/>
      <c r="F580" s="34"/>
    </row>
    <row r="581">
      <c r="A581" s="7"/>
      <c r="B581" s="8"/>
      <c r="C581" s="8"/>
      <c r="D581" s="8"/>
      <c r="E581" s="8"/>
      <c r="F581" s="34"/>
    </row>
    <row r="582">
      <c r="A582" s="7"/>
      <c r="B582" s="8"/>
      <c r="C582" s="8"/>
      <c r="D582" s="8"/>
      <c r="E582" s="8"/>
      <c r="F582" s="34"/>
    </row>
    <row r="583">
      <c r="A583" s="7"/>
      <c r="B583" s="8"/>
      <c r="C583" s="8"/>
      <c r="D583" s="8"/>
      <c r="E583" s="8"/>
      <c r="F583" s="34"/>
    </row>
    <row r="584">
      <c r="A584" s="7"/>
      <c r="B584" s="8"/>
      <c r="C584" s="8"/>
      <c r="D584" s="8"/>
      <c r="E584" s="8"/>
      <c r="F584" s="34"/>
    </row>
    <row r="585">
      <c r="A585" s="7"/>
      <c r="B585" s="8"/>
      <c r="C585" s="8"/>
      <c r="D585" s="8"/>
      <c r="E585" s="8"/>
      <c r="F585" s="34"/>
    </row>
    <row r="586">
      <c r="A586" s="7"/>
      <c r="B586" s="8"/>
      <c r="C586" s="8"/>
      <c r="D586" s="8"/>
      <c r="E586" s="8"/>
      <c r="F586" s="34"/>
    </row>
    <row r="587">
      <c r="A587" s="7"/>
      <c r="B587" s="8"/>
      <c r="C587" s="8"/>
      <c r="D587" s="8"/>
      <c r="E587" s="8"/>
      <c r="F587" s="34"/>
    </row>
    <row r="588">
      <c r="A588" s="7"/>
      <c r="B588" s="8"/>
      <c r="C588" s="8"/>
      <c r="D588" s="8"/>
      <c r="E588" s="8"/>
      <c r="F588" s="34"/>
    </row>
    <row r="589">
      <c r="A589" s="7"/>
      <c r="B589" s="8"/>
      <c r="C589" s="8"/>
      <c r="D589" s="8"/>
      <c r="E589" s="8"/>
      <c r="F589" s="34"/>
    </row>
    <row r="590">
      <c r="A590" s="7"/>
      <c r="B590" s="8"/>
      <c r="C590" s="8"/>
      <c r="D590" s="8"/>
      <c r="E590" s="8"/>
      <c r="F590" s="34"/>
    </row>
    <row r="591">
      <c r="A591" s="7"/>
      <c r="B591" s="8"/>
      <c r="C591" s="8"/>
      <c r="D591" s="8"/>
      <c r="E591" s="8"/>
      <c r="F591" s="34"/>
    </row>
    <row r="592">
      <c r="A592" s="7"/>
      <c r="B592" s="8"/>
      <c r="C592" s="8"/>
      <c r="D592" s="8"/>
      <c r="E592" s="8"/>
      <c r="F592" s="34"/>
    </row>
    <row r="593">
      <c r="A593" s="7"/>
      <c r="B593" s="8"/>
      <c r="C593" s="8"/>
      <c r="D593" s="8"/>
      <c r="E593" s="8"/>
      <c r="F593" s="34"/>
    </row>
    <row r="594">
      <c r="A594" s="7"/>
      <c r="B594" s="8"/>
      <c r="C594" s="8"/>
      <c r="D594" s="8"/>
      <c r="E594" s="8"/>
      <c r="F594" s="34"/>
    </row>
    <row r="595">
      <c r="A595" s="7"/>
      <c r="B595" s="8"/>
      <c r="C595" s="8"/>
      <c r="D595" s="8"/>
      <c r="E595" s="8"/>
      <c r="F595" s="34"/>
    </row>
    <row r="596">
      <c r="A596" s="7"/>
      <c r="B596" s="8"/>
      <c r="C596" s="8"/>
      <c r="D596" s="8"/>
      <c r="E596" s="8"/>
      <c r="F596" s="34"/>
    </row>
    <row r="597">
      <c r="A597" s="7"/>
      <c r="B597" s="8"/>
      <c r="C597" s="8"/>
      <c r="D597" s="8"/>
      <c r="E597" s="8"/>
      <c r="F597" s="34"/>
    </row>
    <row r="598">
      <c r="A598" s="7"/>
      <c r="B598" s="8"/>
      <c r="C598" s="8"/>
      <c r="D598" s="8"/>
      <c r="E598" s="8"/>
      <c r="F598" s="34"/>
    </row>
    <row r="599">
      <c r="A599" s="7"/>
      <c r="B599" s="8"/>
      <c r="C599" s="8"/>
      <c r="D599" s="8"/>
      <c r="E599" s="8"/>
      <c r="F599" s="34"/>
    </row>
    <row r="600">
      <c r="A600" s="7"/>
      <c r="B600" s="8"/>
      <c r="C600" s="8"/>
      <c r="D600" s="8"/>
      <c r="E600" s="8"/>
      <c r="F600" s="34"/>
    </row>
    <row r="601">
      <c r="A601" s="7"/>
      <c r="B601" s="8"/>
      <c r="C601" s="8"/>
      <c r="D601" s="8"/>
      <c r="E601" s="8"/>
      <c r="F601" s="34"/>
    </row>
    <row r="602">
      <c r="A602" s="7"/>
      <c r="B602" s="8"/>
      <c r="C602" s="8"/>
      <c r="D602" s="8"/>
      <c r="E602" s="8"/>
      <c r="F602" s="34"/>
    </row>
    <row r="603">
      <c r="A603" s="7"/>
      <c r="B603" s="8"/>
      <c r="C603" s="8"/>
      <c r="D603" s="8"/>
      <c r="E603" s="8"/>
      <c r="F603" s="34"/>
    </row>
    <row r="604">
      <c r="A604" s="7"/>
      <c r="B604" s="8"/>
      <c r="C604" s="8"/>
      <c r="D604" s="8"/>
      <c r="E604" s="8"/>
      <c r="F604" s="34"/>
    </row>
    <row r="605">
      <c r="A605" s="7"/>
      <c r="B605" s="8"/>
      <c r="C605" s="8"/>
      <c r="D605" s="8"/>
      <c r="E605" s="8"/>
      <c r="F605" s="34"/>
    </row>
    <row r="606">
      <c r="A606" s="7"/>
      <c r="B606" s="8"/>
      <c r="C606" s="8"/>
      <c r="D606" s="8"/>
      <c r="E606" s="8"/>
      <c r="F606" s="34"/>
    </row>
    <row r="607">
      <c r="A607" s="7"/>
      <c r="B607" s="8"/>
      <c r="C607" s="8"/>
      <c r="D607" s="8"/>
      <c r="E607" s="8"/>
      <c r="F607" s="34"/>
    </row>
    <row r="608">
      <c r="A608" s="7"/>
      <c r="B608" s="8"/>
      <c r="C608" s="8"/>
      <c r="D608" s="8"/>
      <c r="E608" s="8"/>
      <c r="F608" s="34"/>
    </row>
    <row r="609">
      <c r="A609" s="7"/>
      <c r="B609" s="8"/>
      <c r="C609" s="8"/>
      <c r="D609" s="8"/>
      <c r="E609" s="8"/>
      <c r="F609" s="34"/>
    </row>
    <row r="610">
      <c r="A610" s="7"/>
      <c r="B610" s="8"/>
      <c r="C610" s="8"/>
      <c r="D610" s="8"/>
      <c r="E610" s="8"/>
      <c r="F610" s="34"/>
    </row>
    <row r="611">
      <c r="A611" s="7"/>
      <c r="B611" s="8"/>
      <c r="C611" s="8"/>
      <c r="D611" s="8"/>
      <c r="E611" s="8"/>
      <c r="F611" s="34"/>
    </row>
    <row r="612">
      <c r="A612" s="7"/>
      <c r="B612" s="8"/>
      <c r="C612" s="8"/>
      <c r="D612" s="8"/>
      <c r="E612" s="8"/>
      <c r="F612" s="34"/>
    </row>
    <row r="613">
      <c r="A613" s="7"/>
      <c r="B613" s="8"/>
      <c r="C613" s="8"/>
      <c r="D613" s="8"/>
      <c r="E613" s="8"/>
      <c r="F613" s="34"/>
    </row>
    <row r="614">
      <c r="A614" s="7"/>
      <c r="B614" s="8"/>
      <c r="C614" s="8"/>
      <c r="D614" s="8"/>
      <c r="E614" s="8"/>
      <c r="F614" s="34"/>
    </row>
    <row r="615">
      <c r="A615" s="7"/>
      <c r="B615" s="8"/>
      <c r="C615" s="8"/>
      <c r="D615" s="8"/>
      <c r="E615" s="8"/>
      <c r="F615" s="34"/>
    </row>
    <row r="616">
      <c r="A616" s="7"/>
      <c r="B616" s="8"/>
      <c r="C616" s="8"/>
      <c r="D616" s="8"/>
      <c r="E616" s="8"/>
      <c r="F616" s="34"/>
    </row>
    <row r="617">
      <c r="A617" s="7"/>
      <c r="B617" s="8"/>
      <c r="C617" s="8"/>
      <c r="D617" s="8"/>
      <c r="E617" s="8"/>
      <c r="F617" s="34"/>
    </row>
    <row r="618">
      <c r="A618" s="7"/>
      <c r="B618" s="8"/>
      <c r="C618" s="8"/>
      <c r="D618" s="8"/>
      <c r="E618" s="8"/>
      <c r="F618" s="34"/>
    </row>
    <row r="619">
      <c r="A619" s="7"/>
      <c r="B619" s="8"/>
      <c r="C619" s="8"/>
      <c r="D619" s="8"/>
      <c r="E619" s="8"/>
      <c r="F619" s="34"/>
    </row>
    <row r="620">
      <c r="A620" s="7"/>
      <c r="B620" s="8"/>
      <c r="C620" s="8"/>
      <c r="D620" s="8"/>
      <c r="E620" s="8"/>
      <c r="F620" s="34"/>
    </row>
    <row r="621">
      <c r="A621" s="7"/>
      <c r="B621" s="8"/>
      <c r="C621" s="8"/>
      <c r="D621" s="8"/>
      <c r="E621" s="8"/>
      <c r="F621" s="34"/>
    </row>
    <row r="622">
      <c r="A622" s="7"/>
      <c r="B622" s="8"/>
      <c r="C622" s="8"/>
      <c r="D622" s="8"/>
      <c r="E622" s="8"/>
      <c r="F622" s="34"/>
    </row>
    <row r="623">
      <c r="A623" s="7"/>
      <c r="B623" s="8"/>
      <c r="C623" s="8"/>
      <c r="D623" s="8"/>
      <c r="E623" s="8"/>
      <c r="F623" s="34"/>
    </row>
    <row r="624">
      <c r="A624" s="7"/>
      <c r="B624" s="8"/>
      <c r="C624" s="8"/>
      <c r="D624" s="8"/>
      <c r="E624" s="8"/>
      <c r="F624" s="34"/>
    </row>
    <row r="625">
      <c r="A625" s="7"/>
      <c r="B625" s="8"/>
      <c r="C625" s="8"/>
      <c r="D625" s="8"/>
      <c r="E625" s="8"/>
      <c r="F625" s="34"/>
    </row>
    <row r="626">
      <c r="A626" s="7"/>
      <c r="B626" s="8"/>
      <c r="C626" s="8"/>
      <c r="D626" s="8"/>
      <c r="E626" s="8"/>
      <c r="F626" s="34"/>
    </row>
    <row r="627">
      <c r="A627" s="7"/>
      <c r="B627" s="8"/>
      <c r="C627" s="8"/>
      <c r="D627" s="8"/>
      <c r="E627" s="8"/>
      <c r="F627" s="34"/>
    </row>
    <row r="628">
      <c r="A628" s="7"/>
      <c r="B628" s="8"/>
      <c r="C628" s="8"/>
      <c r="D628" s="8"/>
      <c r="E628" s="8"/>
      <c r="F628" s="34"/>
    </row>
    <row r="629">
      <c r="A629" s="7"/>
      <c r="B629" s="8"/>
      <c r="C629" s="8"/>
      <c r="D629" s="8"/>
      <c r="E629" s="8"/>
      <c r="F629" s="34"/>
    </row>
    <row r="630">
      <c r="A630" s="7"/>
      <c r="B630" s="8"/>
      <c r="C630" s="8"/>
      <c r="D630" s="8"/>
      <c r="E630" s="8"/>
      <c r="F630" s="34"/>
    </row>
    <row r="631">
      <c r="A631" s="7"/>
      <c r="B631" s="8"/>
      <c r="C631" s="8"/>
      <c r="D631" s="8"/>
      <c r="E631" s="8"/>
      <c r="F631" s="34"/>
    </row>
    <row r="632">
      <c r="A632" s="7"/>
      <c r="B632" s="8"/>
      <c r="C632" s="8"/>
      <c r="D632" s="8"/>
      <c r="E632" s="8"/>
      <c r="F632" s="34"/>
    </row>
    <row r="633">
      <c r="A633" s="7"/>
      <c r="B633" s="8"/>
      <c r="C633" s="8"/>
      <c r="D633" s="8"/>
      <c r="E633" s="8"/>
      <c r="F633" s="34"/>
    </row>
    <row r="634">
      <c r="A634" s="7"/>
      <c r="B634" s="8"/>
      <c r="C634" s="8"/>
      <c r="D634" s="8"/>
      <c r="E634" s="8"/>
      <c r="F634" s="34"/>
    </row>
    <row r="635">
      <c r="A635" s="7"/>
      <c r="B635" s="8"/>
      <c r="C635" s="8"/>
      <c r="D635" s="8"/>
      <c r="E635" s="8"/>
      <c r="F635" s="34"/>
    </row>
    <row r="636">
      <c r="A636" s="7"/>
      <c r="B636" s="8"/>
      <c r="C636" s="8"/>
      <c r="D636" s="8"/>
      <c r="E636" s="8"/>
      <c r="F636" s="34"/>
    </row>
    <row r="637">
      <c r="A637" s="7"/>
      <c r="B637" s="8"/>
      <c r="C637" s="8"/>
      <c r="D637" s="8"/>
      <c r="E637" s="8"/>
      <c r="F637" s="34"/>
    </row>
    <row r="638">
      <c r="A638" s="7"/>
      <c r="B638" s="8"/>
      <c r="C638" s="8"/>
      <c r="D638" s="8"/>
      <c r="E638" s="8"/>
      <c r="F638" s="34"/>
    </row>
    <row r="639">
      <c r="A639" s="7"/>
      <c r="B639" s="8"/>
      <c r="C639" s="8"/>
      <c r="D639" s="8"/>
      <c r="E639" s="8"/>
      <c r="F639" s="34"/>
    </row>
    <row r="640">
      <c r="A640" s="7"/>
      <c r="B640" s="8"/>
      <c r="C640" s="8"/>
      <c r="D640" s="8"/>
      <c r="E640" s="8"/>
      <c r="F640" s="34"/>
    </row>
    <row r="641">
      <c r="A641" s="7"/>
      <c r="B641" s="8"/>
      <c r="C641" s="8"/>
      <c r="D641" s="8"/>
      <c r="E641" s="8"/>
      <c r="F641" s="34"/>
    </row>
    <row r="642">
      <c r="A642" s="7"/>
      <c r="B642" s="8"/>
      <c r="C642" s="8"/>
      <c r="D642" s="8"/>
      <c r="E642" s="8"/>
      <c r="F642" s="34"/>
    </row>
    <row r="643">
      <c r="A643" s="7"/>
      <c r="B643" s="8"/>
      <c r="C643" s="8"/>
      <c r="D643" s="8"/>
      <c r="E643" s="8"/>
      <c r="F643" s="34"/>
    </row>
    <row r="644">
      <c r="A644" s="7"/>
      <c r="B644" s="8"/>
      <c r="C644" s="8"/>
      <c r="D644" s="8"/>
      <c r="E644" s="8"/>
      <c r="F644" s="34"/>
    </row>
    <row r="645">
      <c r="A645" s="7"/>
      <c r="B645" s="8"/>
      <c r="C645" s="8"/>
      <c r="D645" s="8"/>
      <c r="E645" s="8"/>
      <c r="F645" s="34"/>
    </row>
    <row r="646">
      <c r="A646" s="7"/>
      <c r="B646" s="8"/>
      <c r="C646" s="8"/>
      <c r="D646" s="8"/>
      <c r="E646" s="8"/>
      <c r="F646" s="34"/>
    </row>
    <row r="647">
      <c r="A647" s="7"/>
      <c r="B647" s="8"/>
      <c r="C647" s="8"/>
      <c r="D647" s="8"/>
      <c r="E647" s="8"/>
      <c r="F647" s="34"/>
    </row>
    <row r="648">
      <c r="A648" s="7"/>
      <c r="B648" s="8"/>
      <c r="C648" s="8"/>
      <c r="D648" s="8"/>
      <c r="E648" s="8"/>
      <c r="F648" s="34"/>
    </row>
    <row r="649">
      <c r="A649" s="7"/>
      <c r="B649" s="8"/>
      <c r="C649" s="8"/>
      <c r="D649" s="8"/>
      <c r="E649" s="8"/>
      <c r="F649" s="34"/>
    </row>
    <row r="650">
      <c r="A650" s="7"/>
      <c r="B650" s="8"/>
      <c r="C650" s="8"/>
      <c r="D650" s="8"/>
      <c r="E650" s="8"/>
      <c r="F650" s="34"/>
    </row>
    <row r="651">
      <c r="A651" s="7"/>
      <c r="B651" s="8"/>
      <c r="C651" s="8"/>
      <c r="D651" s="8"/>
      <c r="E651" s="8"/>
      <c r="F651" s="34"/>
    </row>
    <row r="652">
      <c r="A652" s="7"/>
      <c r="B652" s="8"/>
      <c r="C652" s="8"/>
      <c r="D652" s="8"/>
      <c r="E652" s="8"/>
      <c r="F652" s="34"/>
    </row>
    <row r="653">
      <c r="A653" s="7"/>
      <c r="B653" s="8"/>
      <c r="C653" s="8"/>
      <c r="D653" s="8"/>
      <c r="E653" s="8"/>
      <c r="F653" s="34"/>
    </row>
    <row r="654">
      <c r="A654" s="7"/>
      <c r="B654" s="8"/>
      <c r="C654" s="8"/>
      <c r="D654" s="8"/>
      <c r="E654" s="8"/>
      <c r="F654" s="34"/>
    </row>
    <row r="655">
      <c r="A655" s="7"/>
      <c r="B655" s="8"/>
      <c r="C655" s="8"/>
      <c r="D655" s="8"/>
      <c r="E655" s="8"/>
      <c r="F655" s="34"/>
    </row>
    <row r="656">
      <c r="A656" s="7"/>
      <c r="B656" s="8"/>
      <c r="C656" s="8"/>
      <c r="D656" s="8"/>
      <c r="E656" s="8"/>
      <c r="F656" s="34"/>
    </row>
    <row r="657">
      <c r="A657" s="7"/>
      <c r="B657" s="8"/>
      <c r="C657" s="8"/>
      <c r="D657" s="8"/>
      <c r="E657" s="8"/>
      <c r="F657" s="34"/>
    </row>
    <row r="658">
      <c r="A658" s="7"/>
      <c r="B658" s="8"/>
      <c r="C658" s="8"/>
      <c r="D658" s="8"/>
      <c r="E658" s="8"/>
      <c r="F658" s="34"/>
    </row>
    <row r="659">
      <c r="A659" s="7"/>
      <c r="B659" s="8"/>
      <c r="C659" s="8"/>
      <c r="D659" s="8"/>
      <c r="E659" s="8"/>
      <c r="F659" s="34"/>
    </row>
    <row r="660">
      <c r="A660" s="7"/>
      <c r="B660" s="8"/>
      <c r="C660" s="8"/>
      <c r="D660" s="8"/>
      <c r="E660" s="8"/>
      <c r="F660" s="34"/>
    </row>
    <row r="661">
      <c r="A661" s="7"/>
      <c r="B661" s="8"/>
      <c r="C661" s="8"/>
      <c r="D661" s="8"/>
      <c r="E661" s="8"/>
      <c r="F661" s="34"/>
    </row>
    <row r="662">
      <c r="A662" s="7"/>
      <c r="B662" s="8"/>
      <c r="C662" s="8"/>
      <c r="D662" s="8"/>
      <c r="E662" s="8"/>
      <c r="F662" s="34"/>
    </row>
    <row r="663">
      <c r="A663" s="7"/>
      <c r="B663" s="8"/>
      <c r="C663" s="8"/>
      <c r="D663" s="8"/>
      <c r="E663" s="8"/>
      <c r="F663" s="34"/>
    </row>
    <row r="664">
      <c r="A664" s="7"/>
      <c r="B664" s="8"/>
      <c r="C664" s="8"/>
      <c r="D664" s="8"/>
      <c r="E664" s="8"/>
      <c r="F664" s="34"/>
    </row>
    <row r="665">
      <c r="A665" s="7"/>
      <c r="B665" s="8"/>
      <c r="C665" s="8"/>
      <c r="D665" s="8"/>
      <c r="E665" s="8"/>
      <c r="F665" s="34"/>
    </row>
    <row r="666">
      <c r="A666" s="7"/>
      <c r="B666" s="8"/>
      <c r="C666" s="8"/>
      <c r="D666" s="8"/>
      <c r="E666" s="8"/>
      <c r="F666" s="34"/>
    </row>
    <row r="667">
      <c r="A667" s="7"/>
      <c r="B667" s="8"/>
      <c r="C667" s="8"/>
      <c r="D667" s="8"/>
      <c r="E667" s="8"/>
      <c r="F667" s="34"/>
    </row>
    <row r="668">
      <c r="A668" s="7"/>
      <c r="B668" s="8"/>
      <c r="C668" s="8"/>
      <c r="D668" s="8"/>
      <c r="E668" s="8"/>
      <c r="F668" s="34"/>
    </row>
    <row r="669">
      <c r="A669" s="7"/>
      <c r="B669" s="8"/>
      <c r="C669" s="8"/>
      <c r="D669" s="8"/>
      <c r="E669" s="8"/>
      <c r="F669" s="34"/>
    </row>
    <row r="670">
      <c r="A670" s="7"/>
      <c r="B670" s="8"/>
      <c r="C670" s="8"/>
      <c r="D670" s="8"/>
      <c r="E670" s="8"/>
      <c r="F670" s="34"/>
    </row>
    <row r="671">
      <c r="A671" s="7"/>
      <c r="B671" s="8"/>
      <c r="C671" s="8"/>
      <c r="D671" s="8"/>
      <c r="E671" s="8"/>
      <c r="F671" s="34"/>
    </row>
    <row r="672">
      <c r="A672" s="7"/>
      <c r="B672" s="8"/>
      <c r="C672" s="8"/>
      <c r="D672" s="8"/>
      <c r="E672" s="8"/>
      <c r="F672" s="34"/>
    </row>
    <row r="673">
      <c r="A673" s="7"/>
      <c r="B673" s="8"/>
      <c r="C673" s="8"/>
      <c r="D673" s="8"/>
      <c r="E673" s="8"/>
      <c r="F673" s="34"/>
    </row>
    <row r="674">
      <c r="A674" s="7"/>
      <c r="B674" s="8"/>
      <c r="C674" s="8"/>
      <c r="D674" s="8"/>
      <c r="E674" s="8"/>
      <c r="F674" s="34"/>
    </row>
    <row r="675">
      <c r="A675" s="7"/>
      <c r="B675" s="8"/>
      <c r="C675" s="8"/>
      <c r="D675" s="8"/>
      <c r="E675" s="8"/>
      <c r="F675" s="34"/>
    </row>
    <row r="676">
      <c r="A676" s="7"/>
      <c r="B676" s="8"/>
      <c r="C676" s="8"/>
      <c r="D676" s="8"/>
      <c r="E676" s="8"/>
      <c r="F676" s="34"/>
    </row>
    <row r="677">
      <c r="A677" s="7"/>
      <c r="B677" s="8"/>
      <c r="C677" s="8"/>
      <c r="D677" s="8"/>
      <c r="E677" s="8"/>
      <c r="F677" s="34"/>
    </row>
    <row r="678">
      <c r="A678" s="7"/>
      <c r="B678" s="8"/>
      <c r="C678" s="8"/>
      <c r="D678" s="8"/>
      <c r="E678" s="8"/>
      <c r="F678" s="34"/>
    </row>
    <row r="679">
      <c r="A679" s="7"/>
      <c r="B679" s="8"/>
      <c r="C679" s="8"/>
      <c r="D679" s="8"/>
      <c r="E679" s="8"/>
      <c r="F679" s="34"/>
    </row>
    <row r="680">
      <c r="A680" s="7"/>
      <c r="B680" s="8"/>
      <c r="C680" s="8"/>
      <c r="D680" s="8"/>
      <c r="E680" s="8"/>
      <c r="F680" s="34"/>
    </row>
    <row r="681">
      <c r="A681" s="7"/>
      <c r="B681" s="8"/>
      <c r="C681" s="8"/>
      <c r="D681" s="8"/>
      <c r="E681" s="8"/>
      <c r="F681" s="34"/>
    </row>
    <row r="682">
      <c r="A682" s="7"/>
      <c r="B682" s="8"/>
      <c r="C682" s="8"/>
      <c r="D682" s="8"/>
      <c r="E682" s="8"/>
      <c r="F682" s="34"/>
    </row>
    <row r="683">
      <c r="A683" s="7"/>
      <c r="B683" s="8"/>
      <c r="C683" s="8"/>
      <c r="D683" s="8"/>
      <c r="E683" s="8"/>
      <c r="F683" s="34"/>
    </row>
    <row r="684">
      <c r="A684" s="7"/>
      <c r="B684" s="8"/>
      <c r="C684" s="8"/>
      <c r="D684" s="8"/>
      <c r="E684" s="8"/>
      <c r="F684" s="34"/>
    </row>
    <row r="685">
      <c r="A685" s="7"/>
      <c r="B685" s="8"/>
      <c r="C685" s="8"/>
      <c r="D685" s="8"/>
      <c r="E685" s="8"/>
      <c r="F685" s="34"/>
    </row>
    <row r="686">
      <c r="A686" s="7"/>
      <c r="B686" s="8"/>
      <c r="C686" s="8"/>
      <c r="D686" s="8"/>
      <c r="E686" s="8"/>
      <c r="F686" s="34"/>
    </row>
    <row r="687">
      <c r="A687" s="7"/>
      <c r="B687" s="8"/>
      <c r="C687" s="8"/>
      <c r="D687" s="8"/>
      <c r="E687" s="8"/>
      <c r="F687" s="34"/>
    </row>
    <row r="688">
      <c r="A688" s="7"/>
      <c r="B688" s="8"/>
      <c r="C688" s="8"/>
      <c r="D688" s="8"/>
      <c r="E688" s="8"/>
      <c r="F688" s="34"/>
    </row>
    <row r="689">
      <c r="A689" s="7"/>
      <c r="B689" s="8"/>
      <c r="C689" s="8"/>
      <c r="D689" s="8"/>
      <c r="E689" s="8"/>
      <c r="F689" s="34"/>
    </row>
    <row r="690">
      <c r="A690" s="7"/>
      <c r="B690" s="8"/>
      <c r="C690" s="8"/>
      <c r="D690" s="8"/>
      <c r="E690" s="8"/>
      <c r="F690" s="34"/>
    </row>
    <row r="691">
      <c r="A691" s="7"/>
      <c r="B691" s="8"/>
      <c r="C691" s="8"/>
      <c r="D691" s="8"/>
      <c r="E691" s="8"/>
      <c r="F691" s="34"/>
    </row>
    <row r="692">
      <c r="A692" s="7"/>
      <c r="B692" s="8"/>
      <c r="C692" s="8"/>
      <c r="D692" s="8"/>
      <c r="E692" s="8"/>
      <c r="F692" s="34"/>
    </row>
    <row r="693">
      <c r="A693" s="7"/>
      <c r="B693" s="8"/>
      <c r="C693" s="8"/>
      <c r="D693" s="8"/>
      <c r="E693" s="8"/>
      <c r="F693" s="34"/>
    </row>
    <row r="694">
      <c r="A694" s="7"/>
      <c r="B694" s="8"/>
      <c r="C694" s="8"/>
      <c r="D694" s="8"/>
      <c r="E694" s="8"/>
      <c r="F694" s="34"/>
    </row>
    <row r="695">
      <c r="A695" s="7"/>
      <c r="B695" s="8"/>
      <c r="C695" s="8"/>
      <c r="D695" s="8"/>
      <c r="E695" s="8"/>
      <c r="F695" s="34"/>
    </row>
    <row r="696">
      <c r="A696" s="7"/>
      <c r="B696" s="8"/>
      <c r="C696" s="8"/>
      <c r="D696" s="8"/>
      <c r="E696" s="8"/>
      <c r="F696" s="34"/>
    </row>
    <row r="697">
      <c r="A697" s="7"/>
      <c r="B697" s="8"/>
      <c r="C697" s="8"/>
      <c r="D697" s="8"/>
      <c r="E697" s="8"/>
      <c r="F697" s="34"/>
    </row>
    <row r="698">
      <c r="A698" s="7"/>
      <c r="B698" s="8"/>
      <c r="C698" s="8"/>
      <c r="D698" s="8"/>
      <c r="E698" s="8"/>
      <c r="F698" s="34"/>
    </row>
    <row r="699">
      <c r="A699" s="7"/>
      <c r="B699" s="8"/>
      <c r="C699" s="8"/>
      <c r="D699" s="8"/>
      <c r="E699" s="8"/>
      <c r="F699" s="34"/>
    </row>
    <row r="700">
      <c r="A700" s="7"/>
      <c r="B700" s="8"/>
      <c r="C700" s="8"/>
      <c r="D700" s="8"/>
      <c r="E700" s="8"/>
      <c r="F700" s="34"/>
    </row>
    <row r="701">
      <c r="A701" s="7"/>
      <c r="B701" s="8"/>
      <c r="C701" s="8"/>
      <c r="D701" s="8"/>
      <c r="E701" s="8"/>
      <c r="F701" s="34"/>
    </row>
    <row r="702">
      <c r="A702" s="7"/>
      <c r="B702" s="8"/>
      <c r="C702" s="8"/>
      <c r="D702" s="8"/>
      <c r="E702" s="8"/>
      <c r="F702" s="34"/>
    </row>
    <row r="703">
      <c r="A703" s="7"/>
      <c r="B703" s="8"/>
      <c r="C703" s="8"/>
      <c r="D703" s="8"/>
      <c r="E703" s="8"/>
      <c r="F703" s="34"/>
    </row>
    <row r="704">
      <c r="A704" s="7"/>
      <c r="B704" s="8"/>
      <c r="C704" s="8"/>
      <c r="D704" s="8"/>
      <c r="E704" s="8"/>
      <c r="F704" s="34"/>
    </row>
    <row r="705">
      <c r="A705" s="7"/>
      <c r="B705" s="8"/>
      <c r="C705" s="8"/>
      <c r="D705" s="8"/>
      <c r="E705" s="8"/>
      <c r="F705" s="34"/>
    </row>
    <row r="706">
      <c r="A706" s="7"/>
      <c r="B706" s="8"/>
      <c r="C706" s="8"/>
      <c r="D706" s="8"/>
      <c r="E706" s="8"/>
      <c r="F706" s="34"/>
    </row>
    <row r="707">
      <c r="A707" s="7"/>
      <c r="B707" s="8"/>
      <c r="C707" s="8"/>
      <c r="D707" s="8"/>
      <c r="E707" s="8"/>
      <c r="F707" s="34"/>
    </row>
    <row r="708">
      <c r="A708" s="7"/>
      <c r="B708" s="8"/>
      <c r="C708" s="8"/>
      <c r="D708" s="8"/>
      <c r="E708" s="8"/>
      <c r="F708" s="34"/>
    </row>
    <row r="709">
      <c r="A709" s="7"/>
      <c r="B709" s="8"/>
      <c r="C709" s="8"/>
      <c r="D709" s="8"/>
      <c r="E709" s="8"/>
      <c r="F709" s="34"/>
    </row>
    <row r="710">
      <c r="A710" s="7"/>
      <c r="B710" s="8"/>
      <c r="C710" s="8"/>
      <c r="D710" s="8"/>
      <c r="E710" s="8"/>
      <c r="F710" s="34"/>
    </row>
    <row r="711">
      <c r="A711" s="7"/>
      <c r="B711" s="8"/>
      <c r="C711" s="8"/>
      <c r="D711" s="8"/>
      <c r="E711" s="8"/>
      <c r="F711" s="34"/>
    </row>
    <row r="712">
      <c r="A712" s="7"/>
      <c r="B712" s="8"/>
      <c r="C712" s="8"/>
      <c r="D712" s="8"/>
      <c r="E712" s="8"/>
      <c r="F712" s="34"/>
    </row>
    <row r="713">
      <c r="A713" s="7"/>
      <c r="B713" s="8"/>
      <c r="C713" s="8"/>
      <c r="D713" s="8"/>
      <c r="E713" s="8"/>
      <c r="F713" s="34"/>
    </row>
    <row r="714">
      <c r="A714" s="7"/>
      <c r="B714" s="8"/>
      <c r="C714" s="8"/>
      <c r="D714" s="8"/>
      <c r="E714" s="8"/>
      <c r="F714" s="34"/>
    </row>
    <row r="715">
      <c r="A715" s="7"/>
      <c r="B715" s="8"/>
      <c r="C715" s="8"/>
      <c r="D715" s="8"/>
      <c r="E715" s="8"/>
      <c r="F715" s="34"/>
    </row>
    <row r="716">
      <c r="A716" s="7"/>
      <c r="B716" s="8"/>
      <c r="C716" s="8"/>
      <c r="D716" s="8"/>
      <c r="E716" s="8"/>
      <c r="F716" s="34"/>
    </row>
    <row r="717">
      <c r="A717" s="7"/>
      <c r="B717" s="8"/>
      <c r="C717" s="8"/>
      <c r="D717" s="8"/>
      <c r="E717" s="8"/>
      <c r="F717" s="34"/>
    </row>
    <row r="718">
      <c r="A718" s="7"/>
      <c r="B718" s="8"/>
      <c r="C718" s="8"/>
      <c r="D718" s="8"/>
      <c r="E718" s="8"/>
      <c r="F718" s="34"/>
    </row>
    <row r="719">
      <c r="A719" s="7"/>
      <c r="B719" s="8"/>
      <c r="C719" s="8"/>
      <c r="D719" s="8"/>
      <c r="E719" s="8"/>
      <c r="F719" s="34"/>
    </row>
    <row r="720">
      <c r="A720" s="7"/>
      <c r="B720" s="8"/>
      <c r="C720" s="8"/>
      <c r="D720" s="8"/>
      <c r="E720" s="8"/>
      <c r="F720" s="34"/>
    </row>
    <row r="721">
      <c r="A721" s="7"/>
      <c r="B721" s="8"/>
      <c r="C721" s="8"/>
      <c r="D721" s="8"/>
      <c r="E721" s="8"/>
      <c r="F721" s="34"/>
    </row>
    <row r="722">
      <c r="A722" s="7"/>
      <c r="B722" s="8"/>
      <c r="C722" s="8"/>
      <c r="D722" s="8"/>
      <c r="E722" s="8"/>
      <c r="F722" s="34"/>
    </row>
    <row r="723">
      <c r="A723" s="7"/>
      <c r="B723" s="8"/>
      <c r="C723" s="8"/>
      <c r="D723" s="8"/>
      <c r="E723" s="8"/>
      <c r="F723" s="34"/>
    </row>
    <row r="724">
      <c r="A724" s="7"/>
      <c r="B724" s="8"/>
      <c r="C724" s="8"/>
      <c r="D724" s="8"/>
      <c r="E724" s="8"/>
      <c r="F724" s="34"/>
    </row>
    <row r="725">
      <c r="A725" s="7"/>
      <c r="B725" s="8"/>
      <c r="C725" s="8"/>
      <c r="D725" s="8"/>
      <c r="E725" s="8"/>
      <c r="F725" s="34"/>
    </row>
    <row r="726">
      <c r="A726" s="7"/>
      <c r="B726" s="8"/>
      <c r="C726" s="8"/>
      <c r="D726" s="8"/>
      <c r="E726" s="8"/>
      <c r="F726" s="34"/>
    </row>
    <row r="727">
      <c r="A727" s="7"/>
      <c r="B727" s="8"/>
      <c r="C727" s="8"/>
      <c r="D727" s="8"/>
      <c r="E727" s="8"/>
      <c r="F727" s="34"/>
    </row>
    <row r="728">
      <c r="A728" s="7"/>
      <c r="B728" s="8"/>
      <c r="C728" s="8"/>
      <c r="D728" s="8"/>
      <c r="E728" s="8"/>
      <c r="F728" s="34"/>
    </row>
    <row r="729">
      <c r="A729" s="7"/>
      <c r="B729" s="8"/>
      <c r="C729" s="8"/>
      <c r="D729" s="8"/>
      <c r="E729" s="8"/>
      <c r="F729" s="34"/>
    </row>
    <row r="730">
      <c r="A730" s="7"/>
      <c r="B730" s="8"/>
      <c r="C730" s="8"/>
      <c r="D730" s="8"/>
      <c r="E730" s="8"/>
      <c r="F730" s="34"/>
    </row>
    <row r="731">
      <c r="A731" s="7"/>
      <c r="B731" s="8"/>
      <c r="C731" s="8"/>
      <c r="D731" s="8"/>
      <c r="E731" s="8"/>
      <c r="F731" s="34"/>
    </row>
    <row r="732">
      <c r="A732" s="7"/>
      <c r="B732" s="8"/>
      <c r="C732" s="8"/>
      <c r="D732" s="8"/>
      <c r="E732" s="8"/>
      <c r="F732" s="34"/>
    </row>
    <row r="733">
      <c r="A733" s="7"/>
      <c r="B733" s="8"/>
      <c r="C733" s="8"/>
      <c r="D733" s="8"/>
      <c r="E733" s="8"/>
      <c r="F733" s="34"/>
    </row>
    <row r="734">
      <c r="A734" s="7"/>
      <c r="B734" s="8"/>
      <c r="C734" s="8"/>
      <c r="D734" s="8"/>
      <c r="E734" s="8"/>
      <c r="F734" s="34"/>
    </row>
    <row r="735">
      <c r="A735" s="7"/>
      <c r="B735" s="8"/>
      <c r="C735" s="8"/>
      <c r="D735" s="8"/>
      <c r="E735" s="8"/>
      <c r="F735" s="34"/>
    </row>
    <row r="736">
      <c r="A736" s="7"/>
      <c r="B736" s="8"/>
      <c r="C736" s="8"/>
      <c r="D736" s="8"/>
      <c r="E736" s="8"/>
      <c r="F736" s="34"/>
    </row>
    <row r="737">
      <c r="A737" s="7"/>
      <c r="B737" s="8"/>
      <c r="C737" s="8"/>
      <c r="D737" s="8"/>
      <c r="E737" s="8"/>
      <c r="F737" s="34"/>
    </row>
    <row r="738">
      <c r="A738" s="7"/>
      <c r="B738" s="8"/>
      <c r="C738" s="8"/>
      <c r="D738" s="8"/>
      <c r="E738" s="8"/>
      <c r="F738" s="34"/>
    </row>
    <row r="739">
      <c r="A739" s="7"/>
      <c r="B739" s="8"/>
      <c r="C739" s="8"/>
      <c r="D739" s="8"/>
      <c r="E739" s="8"/>
      <c r="F739" s="34"/>
    </row>
    <row r="740">
      <c r="A740" s="7"/>
      <c r="B740" s="8"/>
      <c r="C740" s="8"/>
      <c r="D740" s="8"/>
      <c r="E740" s="8"/>
      <c r="F740" s="34"/>
    </row>
    <row r="741">
      <c r="A741" s="7"/>
      <c r="B741" s="8"/>
      <c r="C741" s="8"/>
      <c r="D741" s="8"/>
      <c r="E741" s="8"/>
      <c r="F741" s="34"/>
    </row>
    <row r="742">
      <c r="A742" s="7"/>
      <c r="B742" s="8"/>
      <c r="C742" s="8"/>
      <c r="D742" s="8"/>
      <c r="E742" s="8"/>
      <c r="F742" s="34"/>
    </row>
    <row r="743">
      <c r="A743" s="7"/>
      <c r="B743" s="8"/>
      <c r="C743" s="8"/>
      <c r="D743" s="8"/>
      <c r="E743" s="8"/>
      <c r="F743" s="34"/>
    </row>
    <row r="744">
      <c r="A744" s="7"/>
      <c r="B744" s="8"/>
      <c r="C744" s="8"/>
      <c r="D744" s="8"/>
      <c r="E744" s="8"/>
      <c r="F744" s="34"/>
    </row>
    <row r="745">
      <c r="A745" s="7"/>
      <c r="B745" s="8"/>
      <c r="C745" s="8"/>
      <c r="D745" s="8"/>
      <c r="E745" s="8"/>
      <c r="F745" s="34"/>
    </row>
    <row r="746">
      <c r="A746" s="7"/>
      <c r="B746" s="8"/>
      <c r="C746" s="8"/>
      <c r="D746" s="8"/>
      <c r="E746" s="8"/>
      <c r="F746" s="34"/>
    </row>
    <row r="747">
      <c r="A747" s="7"/>
      <c r="B747" s="8"/>
      <c r="C747" s="8"/>
      <c r="D747" s="8"/>
      <c r="E747" s="8"/>
      <c r="F747" s="34"/>
    </row>
    <row r="748">
      <c r="A748" s="7"/>
      <c r="B748" s="8"/>
      <c r="C748" s="8"/>
      <c r="D748" s="8"/>
      <c r="E748" s="8"/>
      <c r="F748" s="34"/>
    </row>
    <row r="749">
      <c r="A749" s="7"/>
      <c r="B749" s="8"/>
      <c r="C749" s="8"/>
      <c r="D749" s="8"/>
      <c r="E749" s="8"/>
      <c r="F749" s="34"/>
    </row>
    <row r="750">
      <c r="A750" s="7"/>
      <c r="B750" s="8"/>
      <c r="C750" s="8"/>
      <c r="D750" s="8"/>
      <c r="E750" s="8"/>
      <c r="F750" s="34"/>
    </row>
    <row r="751">
      <c r="A751" s="7"/>
      <c r="B751" s="8"/>
      <c r="C751" s="8"/>
      <c r="D751" s="8"/>
      <c r="E751" s="8"/>
      <c r="F751" s="34"/>
    </row>
    <row r="752">
      <c r="A752" s="7"/>
      <c r="B752" s="8"/>
      <c r="C752" s="8"/>
      <c r="D752" s="8"/>
      <c r="E752" s="8"/>
      <c r="F752" s="34"/>
    </row>
    <row r="753">
      <c r="A753" s="7"/>
      <c r="B753" s="8"/>
      <c r="C753" s="8"/>
      <c r="D753" s="8"/>
      <c r="E753" s="8"/>
      <c r="F753" s="34"/>
    </row>
    <row r="754">
      <c r="A754" s="7"/>
      <c r="B754" s="8"/>
      <c r="C754" s="8"/>
      <c r="D754" s="8"/>
      <c r="E754" s="8"/>
      <c r="F754" s="34"/>
    </row>
    <row r="755">
      <c r="A755" s="7"/>
      <c r="B755" s="8"/>
      <c r="C755" s="8"/>
      <c r="D755" s="8"/>
      <c r="E755" s="8"/>
      <c r="F755" s="34"/>
    </row>
    <row r="756">
      <c r="A756" s="7"/>
      <c r="B756" s="8"/>
      <c r="C756" s="8"/>
      <c r="D756" s="8"/>
      <c r="E756" s="8"/>
      <c r="F756" s="34"/>
    </row>
    <row r="757">
      <c r="A757" s="7"/>
      <c r="B757" s="8"/>
      <c r="C757" s="8"/>
      <c r="D757" s="8"/>
      <c r="E757" s="8"/>
      <c r="F757" s="34"/>
    </row>
    <row r="758">
      <c r="A758" s="7"/>
      <c r="B758" s="8"/>
      <c r="C758" s="8"/>
      <c r="D758" s="8"/>
      <c r="E758" s="8"/>
      <c r="F758" s="34"/>
    </row>
    <row r="759">
      <c r="A759" s="7"/>
      <c r="B759" s="8"/>
      <c r="C759" s="8"/>
      <c r="D759" s="8"/>
      <c r="E759" s="8"/>
      <c r="F759" s="34"/>
    </row>
    <row r="760">
      <c r="A760" s="7"/>
      <c r="B760" s="8"/>
      <c r="C760" s="8"/>
      <c r="D760" s="8"/>
      <c r="E760" s="8"/>
      <c r="F760" s="34"/>
    </row>
    <row r="761">
      <c r="A761" s="7"/>
      <c r="B761" s="8"/>
      <c r="C761" s="8"/>
      <c r="D761" s="8"/>
      <c r="E761" s="8"/>
      <c r="F761" s="34"/>
    </row>
    <row r="762">
      <c r="A762" s="7"/>
      <c r="B762" s="8"/>
      <c r="C762" s="8"/>
      <c r="D762" s="8"/>
      <c r="E762" s="8"/>
      <c r="F762" s="34"/>
    </row>
    <row r="763">
      <c r="A763" s="7"/>
      <c r="B763" s="8"/>
      <c r="C763" s="8"/>
      <c r="D763" s="8"/>
      <c r="E763" s="8"/>
      <c r="F763" s="34"/>
    </row>
    <row r="764">
      <c r="A764" s="7"/>
      <c r="B764" s="8"/>
      <c r="C764" s="8"/>
      <c r="D764" s="8"/>
      <c r="E764" s="8"/>
      <c r="F764" s="34"/>
    </row>
    <row r="765">
      <c r="A765" s="7"/>
      <c r="B765" s="8"/>
      <c r="C765" s="8"/>
      <c r="D765" s="8"/>
      <c r="E765" s="8"/>
      <c r="F765" s="34"/>
    </row>
    <row r="766">
      <c r="A766" s="7"/>
      <c r="B766" s="8"/>
      <c r="C766" s="8"/>
      <c r="D766" s="8"/>
      <c r="E766" s="8"/>
      <c r="F766" s="34"/>
    </row>
    <row r="767">
      <c r="A767" s="7"/>
      <c r="B767" s="8"/>
      <c r="C767" s="8"/>
      <c r="D767" s="8"/>
      <c r="E767" s="8"/>
      <c r="F767" s="34"/>
    </row>
    <row r="768">
      <c r="A768" s="7"/>
      <c r="B768" s="8"/>
      <c r="C768" s="8"/>
      <c r="D768" s="8"/>
      <c r="E768" s="8"/>
      <c r="F768" s="34"/>
    </row>
    <row r="769">
      <c r="A769" s="7"/>
      <c r="B769" s="8"/>
      <c r="C769" s="8"/>
      <c r="D769" s="8"/>
      <c r="E769" s="8"/>
      <c r="F769" s="34"/>
    </row>
    <row r="770">
      <c r="A770" s="7"/>
      <c r="B770" s="8"/>
      <c r="C770" s="8"/>
      <c r="D770" s="8"/>
      <c r="E770" s="8"/>
      <c r="F770" s="34"/>
    </row>
    <row r="771">
      <c r="A771" s="7"/>
      <c r="B771" s="8"/>
      <c r="C771" s="8"/>
      <c r="D771" s="8"/>
      <c r="E771" s="8"/>
      <c r="F771" s="34"/>
    </row>
    <row r="772">
      <c r="A772" s="7"/>
      <c r="B772" s="8"/>
      <c r="C772" s="8"/>
      <c r="D772" s="8"/>
      <c r="E772" s="8"/>
      <c r="F772" s="34"/>
    </row>
    <row r="773">
      <c r="A773" s="7"/>
      <c r="B773" s="8"/>
      <c r="C773" s="8"/>
      <c r="D773" s="8"/>
      <c r="E773" s="8"/>
      <c r="F773" s="34"/>
    </row>
    <row r="774">
      <c r="A774" s="7"/>
      <c r="B774" s="8"/>
      <c r="C774" s="8"/>
      <c r="D774" s="8"/>
      <c r="E774" s="8"/>
      <c r="F774" s="34"/>
    </row>
    <row r="775">
      <c r="A775" s="7"/>
      <c r="B775" s="8"/>
      <c r="C775" s="8"/>
      <c r="D775" s="8"/>
      <c r="E775" s="8"/>
      <c r="F775" s="34"/>
    </row>
    <row r="776">
      <c r="A776" s="7"/>
      <c r="B776" s="8"/>
      <c r="C776" s="8"/>
      <c r="D776" s="8"/>
      <c r="E776" s="8"/>
      <c r="F776" s="34"/>
    </row>
    <row r="777">
      <c r="A777" s="7"/>
      <c r="B777" s="8"/>
      <c r="C777" s="8"/>
      <c r="D777" s="8"/>
      <c r="E777" s="8"/>
      <c r="F777" s="34"/>
    </row>
    <row r="778">
      <c r="A778" s="7"/>
      <c r="B778" s="8"/>
      <c r="C778" s="8"/>
      <c r="D778" s="8"/>
      <c r="E778" s="8"/>
      <c r="F778" s="34"/>
    </row>
    <row r="779">
      <c r="A779" s="7"/>
      <c r="B779" s="8"/>
      <c r="C779" s="8"/>
      <c r="D779" s="8"/>
      <c r="E779" s="8"/>
      <c r="F779" s="34"/>
    </row>
    <row r="780">
      <c r="A780" s="7"/>
      <c r="B780" s="8"/>
      <c r="C780" s="8"/>
      <c r="D780" s="8"/>
      <c r="E780" s="8"/>
      <c r="F780" s="34"/>
    </row>
    <row r="781">
      <c r="A781" s="7"/>
      <c r="B781" s="8"/>
      <c r="C781" s="8"/>
      <c r="D781" s="8"/>
      <c r="E781" s="8"/>
      <c r="F781" s="34"/>
    </row>
    <row r="782">
      <c r="A782" s="7"/>
      <c r="B782" s="8"/>
      <c r="C782" s="8"/>
      <c r="D782" s="8"/>
      <c r="E782" s="8"/>
      <c r="F782" s="34"/>
    </row>
    <row r="783">
      <c r="A783" s="7"/>
      <c r="B783" s="8"/>
      <c r="C783" s="8"/>
      <c r="D783" s="8"/>
      <c r="E783" s="8"/>
      <c r="F783" s="34"/>
    </row>
    <row r="784">
      <c r="A784" s="7"/>
      <c r="B784" s="8"/>
      <c r="C784" s="8"/>
      <c r="D784" s="8"/>
      <c r="E784" s="8"/>
      <c r="F784" s="34"/>
    </row>
    <row r="785">
      <c r="A785" s="7"/>
      <c r="B785" s="8"/>
      <c r="C785" s="8"/>
      <c r="D785" s="8"/>
      <c r="E785" s="8"/>
      <c r="F785" s="34"/>
    </row>
    <row r="786">
      <c r="A786" s="7"/>
      <c r="B786" s="8"/>
      <c r="C786" s="8"/>
      <c r="D786" s="8"/>
      <c r="E786" s="8"/>
      <c r="F786" s="34"/>
    </row>
    <row r="787">
      <c r="A787" s="7"/>
      <c r="B787" s="8"/>
      <c r="C787" s="8"/>
      <c r="D787" s="8"/>
      <c r="E787" s="8"/>
      <c r="F787" s="34"/>
    </row>
    <row r="788">
      <c r="A788" s="7"/>
      <c r="B788" s="8"/>
      <c r="C788" s="8"/>
      <c r="D788" s="8"/>
      <c r="E788" s="8"/>
      <c r="F788" s="34"/>
    </row>
    <row r="789">
      <c r="A789" s="7"/>
      <c r="B789" s="8"/>
      <c r="C789" s="8"/>
      <c r="D789" s="8"/>
      <c r="E789" s="8"/>
      <c r="F789" s="34"/>
    </row>
    <row r="790">
      <c r="A790" s="7"/>
      <c r="B790" s="8"/>
      <c r="C790" s="8"/>
      <c r="D790" s="8"/>
      <c r="E790" s="8"/>
      <c r="F790" s="34"/>
    </row>
    <row r="791">
      <c r="A791" s="7"/>
      <c r="B791" s="8"/>
      <c r="C791" s="8"/>
      <c r="D791" s="8"/>
      <c r="E791" s="8"/>
      <c r="F791" s="34"/>
    </row>
    <row r="792">
      <c r="A792" s="7"/>
      <c r="B792" s="8"/>
      <c r="C792" s="8"/>
      <c r="D792" s="8"/>
      <c r="E792" s="8"/>
      <c r="F792" s="34"/>
    </row>
    <row r="793">
      <c r="A793" s="7"/>
      <c r="B793" s="8"/>
      <c r="C793" s="8"/>
      <c r="D793" s="8"/>
      <c r="E793" s="8"/>
      <c r="F793" s="34"/>
    </row>
    <row r="794">
      <c r="A794" s="7"/>
      <c r="B794" s="8"/>
      <c r="C794" s="8"/>
      <c r="D794" s="8"/>
      <c r="E794" s="8"/>
      <c r="F794" s="34"/>
    </row>
    <row r="795">
      <c r="A795" s="7"/>
      <c r="B795" s="8"/>
      <c r="C795" s="8"/>
      <c r="D795" s="8"/>
      <c r="E795" s="8"/>
      <c r="F795" s="34"/>
    </row>
    <row r="796">
      <c r="A796" s="7"/>
      <c r="B796" s="8"/>
      <c r="C796" s="8"/>
      <c r="D796" s="8"/>
      <c r="E796" s="8"/>
      <c r="F796" s="34"/>
    </row>
    <row r="797">
      <c r="A797" s="7"/>
      <c r="B797" s="8"/>
      <c r="C797" s="8"/>
      <c r="D797" s="8"/>
      <c r="E797" s="8"/>
      <c r="F797" s="34"/>
    </row>
    <row r="798">
      <c r="A798" s="7"/>
      <c r="B798" s="8"/>
      <c r="C798" s="8"/>
      <c r="D798" s="8"/>
      <c r="E798" s="8"/>
      <c r="F798" s="34"/>
    </row>
    <row r="799">
      <c r="A799" s="7"/>
      <c r="B799" s="8"/>
      <c r="C799" s="8"/>
      <c r="D799" s="8"/>
      <c r="E799" s="8"/>
      <c r="F799" s="34"/>
    </row>
    <row r="800">
      <c r="A800" s="7"/>
      <c r="B800" s="8"/>
      <c r="C800" s="8"/>
      <c r="D800" s="8"/>
      <c r="E800" s="8"/>
      <c r="F800" s="34"/>
    </row>
    <row r="801">
      <c r="A801" s="7"/>
      <c r="B801" s="8"/>
      <c r="C801" s="8"/>
      <c r="D801" s="8"/>
      <c r="E801" s="8"/>
      <c r="F801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</cols>
  <sheetData>
    <row r="1">
      <c r="A1" s="35" t="s">
        <v>517</v>
      </c>
      <c r="B1" s="35" t="s">
        <v>8</v>
      </c>
      <c r="C1" s="35" t="s">
        <v>9</v>
      </c>
      <c r="D1" s="35" t="s">
        <v>10</v>
      </c>
      <c r="E1" s="35" t="s">
        <v>11</v>
      </c>
      <c r="F1" s="35" t="s">
        <v>524</v>
      </c>
      <c r="G1" s="35" t="s">
        <v>525</v>
      </c>
      <c r="H1" s="35" t="s">
        <v>526</v>
      </c>
      <c r="I1" s="35" t="s">
        <v>518</v>
      </c>
      <c r="J1" s="35" t="s">
        <v>519</v>
      </c>
      <c r="K1" s="35" t="s">
        <v>520</v>
      </c>
      <c r="L1" s="35" t="s">
        <v>521</v>
      </c>
      <c r="M1" s="35" t="s">
        <v>522</v>
      </c>
      <c r="N1" s="35" t="s">
        <v>523</v>
      </c>
      <c r="O1" s="2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>
      <c r="A2" s="36" t="s">
        <v>527</v>
      </c>
      <c r="B2" s="37">
        <f>sum(AERO!C2:C885)</f>
        <v>22</v>
      </c>
      <c r="C2" s="37">
        <f>sum(AERO!D2:D885)</f>
        <v>21</v>
      </c>
      <c r="D2" s="37">
        <f>sum(AERO!E2:E885)</f>
        <v>12</v>
      </c>
      <c r="E2" s="37">
        <f>sum(AERO!F2:F885)</f>
        <v>11</v>
      </c>
      <c r="F2" s="38">
        <v>54.0</v>
      </c>
      <c r="G2" s="38">
        <f t="shared" ref="G2:G22" si="1">C2+E2</f>
        <v>32</v>
      </c>
      <c r="H2" s="39">
        <f>SUM(IF(AND(AERO!C2:C100 &gt; 0, AERO!D2:D100 = 0, AERO!F2:F100 &gt; 0), 1, 0))</f>
        <v>0</v>
      </c>
      <c r="I2" s="40">
        <f t="shared" ref="I2:I22" si="2">G2/F2</f>
        <v>0.5925925926</v>
      </c>
      <c r="J2" s="41" t="str">
        <f t="shared" ref="J2:J3" si="3">IF((I2&lt;0.2),"YES","")</f>
        <v/>
      </c>
      <c r="K2" s="42" t="str">
        <f t="shared" ref="K2:K3" si="4">IF((I2&gt;0.8),"YES","")</f>
        <v/>
      </c>
      <c r="L2" s="43"/>
      <c r="M2" s="43"/>
      <c r="N2" s="43"/>
    </row>
    <row r="3">
      <c r="A3" s="44" t="s">
        <v>528</v>
      </c>
      <c r="B3" s="45">
        <f>SUM(AREN!C2:C885)</f>
        <v>8</v>
      </c>
      <c r="C3" s="45">
        <f>SUM(AREN!D2:D885)</f>
        <v>5</v>
      </c>
      <c r="D3" s="45">
        <f>SUM(AREN!E2:E885)</f>
        <v>3</v>
      </c>
      <c r="E3" s="45">
        <f>SUM(AREN!F2:F885)</f>
        <v>3</v>
      </c>
      <c r="F3" s="46">
        <v>12.0</v>
      </c>
      <c r="G3" s="46">
        <f t="shared" si="1"/>
        <v>8</v>
      </c>
      <c r="H3" s="39">
        <f>SUM(IF(AND(AERO!C3:C101 &gt; 0, AERO!D3:D101 = 0, AERO!F3:F101 &gt; 0), 1, 0))</f>
        <v>0</v>
      </c>
      <c r="I3" s="40">
        <f t="shared" si="2"/>
        <v>0.6666666667</v>
      </c>
      <c r="J3" s="47" t="str">
        <f t="shared" si="3"/>
        <v/>
      </c>
      <c r="K3" s="42" t="str">
        <f t="shared" si="4"/>
        <v/>
      </c>
      <c r="L3" s="43"/>
      <c r="M3" s="43"/>
      <c r="N3" s="43"/>
    </row>
    <row r="4">
      <c r="A4" s="36" t="s">
        <v>529</v>
      </c>
      <c r="B4" s="37">
        <f>sum(BAEN!C2:C885)</f>
        <v>0</v>
      </c>
      <c r="C4" s="37">
        <f>sum(BAEN!D2:D885)</f>
        <v>0</v>
      </c>
      <c r="D4" s="37">
        <f>sum(BAEN!E2:E885)</f>
        <v>0</v>
      </c>
      <c r="E4" s="37">
        <f>sum(BAEN!F2:F885)</f>
        <v>0</v>
      </c>
      <c r="F4" s="38">
        <v>18.0</v>
      </c>
      <c r="G4" s="38">
        <f t="shared" si="1"/>
        <v>0</v>
      </c>
      <c r="H4" s="39">
        <f>SUM(IF(AND(AERO!C4:C102 &gt; 0, AERO!D4:D102 = 0, AERO!F4:F102 &gt; 0), 1, 0))</f>
        <v>0</v>
      </c>
      <c r="I4" s="40">
        <f t="shared" si="2"/>
        <v>0</v>
      </c>
      <c r="J4" s="47"/>
      <c r="K4" s="42"/>
      <c r="L4" s="43"/>
      <c r="M4" s="43"/>
      <c r="N4" s="43"/>
    </row>
    <row r="5">
      <c r="A5" s="44" t="s">
        <v>530</v>
      </c>
      <c r="B5" s="45">
        <f>SUM(BMEN!C2:C885)</f>
        <v>2</v>
      </c>
      <c r="C5" s="45">
        <f>SUM(BMEN!D2:D885)</f>
        <v>1</v>
      </c>
      <c r="D5" s="45">
        <f>SUM(BMEN!E2:E885)</f>
        <v>4</v>
      </c>
      <c r="E5" s="45">
        <f>SUM(BMEN!F2:F885)</f>
        <v>3</v>
      </c>
      <c r="F5" s="46">
        <v>40.0</v>
      </c>
      <c r="G5" s="46">
        <f t="shared" si="1"/>
        <v>4</v>
      </c>
      <c r="H5" s="39">
        <f>SUM(IF(AND(AERO!C5:C103 &gt; 0, AERO!D5:D103 = 0, AERO!F5:F103 &gt; 0), 1, 0))</f>
        <v>0</v>
      </c>
      <c r="I5" s="40">
        <f t="shared" si="2"/>
        <v>0.1</v>
      </c>
      <c r="J5" s="47"/>
      <c r="K5" s="42"/>
      <c r="L5" s="43"/>
      <c r="M5" s="43"/>
      <c r="N5" s="43"/>
    </row>
    <row r="6">
      <c r="A6" s="36" t="s">
        <v>531</v>
      </c>
      <c r="B6" s="37">
        <f>SUM(CHEN!C2:C885)</f>
        <v>67</v>
      </c>
      <c r="C6" s="37">
        <f>SUM(CHEN!D2:D885)</f>
        <v>62</v>
      </c>
      <c r="D6" s="37">
        <f>SUM(CHEN!E2:E885)</f>
        <v>40</v>
      </c>
      <c r="E6" s="37">
        <f>SUM(CHEN!F2:F885)</f>
        <v>41</v>
      </c>
      <c r="F6" s="38">
        <v>52.0</v>
      </c>
      <c r="G6" s="38">
        <f t="shared" si="1"/>
        <v>103</v>
      </c>
      <c r="H6" s="39">
        <f>SUM(IF(AND(AERO!C6:C104 &gt; 0, AERO!D6:D104 = 0, AERO!F6:F104 &gt; 0), 1, 0))</f>
        <v>0</v>
      </c>
      <c r="I6" s="40">
        <f t="shared" si="2"/>
        <v>1.980769231</v>
      </c>
      <c r="J6" s="47"/>
      <c r="K6" s="42"/>
      <c r="L6" s="43"/>
      <c r="M6" s="43"/>
      <c r="N6" s="43"/>
    </row>
    <row r="7">
      <c r="A7" s="48" t="s">
        <v>532</v>
      </c>
      <c r="B7" s="45">
        <f>SUM(CECNCEEN!C2:C885)</f>
        <v>20</v>
      </c>
      <c r="C7" s="45">
        <f>SUM(CECNCEEN!D2:D885)</f>
        <v>16</v>
      </c>
      <c r="D7" s="45">
        <f>SUM(CECNCEEN!E2:E885)</f>
        <v>5</v>
      </c>
      <c r="E7" s="45">
        <f>SUM(CECNCEEN!F2:F885)</f>
        <v>5</v>
      </c>
      <c r="F7" s="46">
        <v>38.0</v>
      </c>
      <c r="G7" s="46">
        <f t="shared" si="1"/>
        <v>21</v>
      </c>
      <c r="H7" s="39">
        <f>SUM(IF(AND(AERO!C7:C105 &gt; 0, AERO!D7:D105 = 0, AERO!F7:F105 &gt; 0), 1, 0))</f>
        <v>0</v>
      </c>
      <c r="I7" s="40">
        <f t="shared" si="2"/>
        <v>0.5526315789</v>
      </c>
      <c r="J7" s="47"/>
      <c r="K7" s="42"/>
      <c r="L7" s="43"/>
      <c r="M7" s="43"/>
      <c r="N7" s="43"/>
    </row>
    <row r="8">
      <c r="A8" s="36" t="s">
        <v>533</v>
      </c>
      <c r="B8" s="37">
        <f>SUM(CPSC!C2:C885)</f>
        <v>23</v>
      </c>
      <c r="C8" s="37">
        <f>SUM(CPSC!D2:D885)</f>
        <v>20</v>
      </c>
      <c r="D8" s="37">
        <f>SUM(CPSC!E2:E885)</f>
        <v>10</v>
      </c>
      <c r="E8" s="37">
        <f>SUM(CPSC!F2:F885)</f>
        <v>10</v>
      </c>
      <c r="F8" s="38">
        <v>100.0</v>
      </c>
      <c r="G8" s="38">
        <f t="shared" si="1"/>
        <v>30</v>
      </c>
      <c r="H8" s="39">
        <f>SUM(IF(AND(AERO!C8:C106 &gt; 0, AERO!D8:D106 = 0, AERO!F8:F106 &gt; 0), 1, 0))</f>
        <v>0</v>
      </c>
      <c r="I8" s="49">
        <f t="shared" si="2"/>
        <v>0.3</v>
      </c>
      <c r="J8" s="47"/>
      <c r="K8" s="42"/>
      <c r="L8" s="43"/>
      <c r="M8" s="43"/>
      <c r="N8" s="43"/>
    </row>
    <row r="9">
      <c r="A9" s="44" t="s">
        <v>534</v>
      </c>
      <c r="B9" s="45">
        <f>SUM(CVEN!C2:C885)</f>
        <v>116</v>
      </c>
      <c r="C9" s="45">
        <f>SUM(CVEN!D2:D885)</f>
        <v>92</v>
      </c>
      <c r="D9" s="45">
        <f>SUM(CVEN!E2:E885)</f>
        <v>92</v>
      </c>
      <c r="E9" s="45">
        <f>SUM(CVEN!F2:F885)</f>
        <v>100</v>
      </c>
      <c r="F9" s="46">
        <v>64.0</v>
      </c>
      <c r="G9" s="46">
        <f t="shared" si="1"/>
        <v>192</v>
      </c>
      <c r="H9" s="39">
        <f>SUM(IF(AND(AERO!C9:C107 &gt; 0, AERO!D9:D107 = 0, AERO!F9:F107 &gt; 0), 1, 0))</f>
        <v>0</v>
      </c>
      <c r="I9" s="50">
        <f t="shared" si="2"/>
        <v>3</v>
      </c>
      <c r="J9" s="47"/>
      <c r="K9" s="42"/>
      <c r="L9" s="43"/>
      <c r="M9" s="43"/>
      <c r="N9" s="43"/>
    </row>
    <row r="10">
      <c r="A10" s="36" t="s">
        <v>535</v>
      </c>
      <c r="B10" s="37">
        <f>SUM(ELEN!C2:C885)</f>
        <v>72</v>
      </c>
      <c r="C10" s="37">
        <f>SUM(ELEN!D2:D885)</f>
        <v>63</v>
      </c>
      <c r="D10" s="37">
        <f>SUM(ELEN!E2:E885)</f>
        <v>54</v>
      </c>
      <c r="E10" s="37">
        <f>SUM(ELEN!F2:F885)</f>
        <v>46</v>
      </c>
      <c r="F10" s="38">
        <v>92.0</v>
      </c>
      <c r="G10" s="38">
        <f t="shared" si="1"/>
        <v>109</v>
      </c>
      <c r="H10" s="39">
        <f>SUM(IF(AND(AERO!C10:C108 &gt; 0, AERO!D10:D108 = 0, AERO!F10:F108 &gt; 0), 1, 0))</f>
        <v>0</v>
      </c>
      <c r="I10" s="50">
        <f t="shared" si="2"/>
        <v>1.184782609</v>
      </c>
      <c r="J10" s="47"/>
      <c r="K10" s="42"/>
      <c r="L10" s="43"/>
      <c r="M10" s="43"/>
      <c r="N10" s="43"/>
    </row>
    <row r="11">
      <c r="A11" s="44" t="s">
        <v>536</v>
      </c>
      <c r="B11" s="45">
        <f>SUM(ESET!C2:C885)</f>
        <v>1</v>
      </c>
      <c r="C11" s="45">
        <f>SUM(ESET!D2:D885)</f>
        <v>1</v>
      </c>
      <c r="D11" s="45">
        <f>SUM(ESET!E2:E885)</f>
        <v>1</v>
      </c>
      <c r="E11" s="45">
        <f>SUM(ESET!F2:F885)</f>
        <v>1</v>
      </c>
      <c r="F11" s="46">
        <v>26.0</v>
      </c>
      <c r="G11" s="46">
        <f t="shared" si="1"/>
        <v>2</v>
      </c>
      <c r="H11" s="39">
        <f>SUM(IF(AND(AERO!C11:C109 &gt; 0, AERO!D11:D109 = 0, AERO!F11:F109 &gt; 0), 1, 0))</f>
        <v>0</v>
      </c>
      <c r="I11" s="51">
        <f t="shared" si="2"/>
        <v>0.07692307692</v>
      </c>
      <c r="J11" s="47"/>
      <c r="K11" s="42"/>
      <c r="L11" s="43"/>
      <c r="M11" s="43"/>
      <c r="N11" s="43"/>
    </row>
    <row r="12">
      <c r="A12" s="36" t="s">
        <v>537</v>
      </c>
      <c r="B12" s="37">
        <f>SUM(EVEN!C2:C885)</f>
        <v>1</v>
      </c>
      <c r="C12" s="37">
        <f>SUM(EVEN!D2:D885)</f>
        <v>1</v>
      </c>
      <c r="D12" s="37">
        <f>SUM(EVEN!E2:E885)</f>
        <v>0</v>
      </c>
      <c r="E12" s="37">
        <f>SUM(EVEN!F2:F885)</f>
        <v>0</v>
      </c>
      <c r="F12" s="38">
        <v>12.0</v>
      </c>
      <c r="G12" s="38">
        <f t="shared" si="1"/>
        <v>1</v>
      </c>
      <c r="H12" s="39">
        <f>SUM(IF(AND(AERO!C12:C110 &gt; 0, AERO!D12:D110 = 0, AERO!F12:F110 &gt; 0), 1, 0))</f>
        <v>0</v>
      </c>
      <c r="I12" s="52">
        <f t="shared" si="2"/>
        <v>0.08333333333</v>
      </c>
      <c r="J12" s="47"/>
      <c r="K12" s="42"/>
      <c r="L12" s="43"/>
      <c r="M12" s="43"/>
      <c r="N12" s="43"/>
    </row>
    <row r="13">
      <c r="A13" s="44" t="s">
        <v>538</v>
      </c>
      <c r="B13" s="45">
        <f>SUM(IDIS!C2:C885)</f>
        <v>3</v>
      </c>
      <c r="C13" s="45">
        <f>SUM(IDIS!D2:D885)</f>
        <v>3</v>
      </c>
      <c r="D13" s="45">
        <f>SUM(IDIS!E2:E885)</f>
        <v>2</v>
      </c>
      <c r="E13" s="45">
        <f>SUM(IDIS!F2:F885)</f>
        <v>2</v>
      </c>
      <c r="F13" s="46">
        <v>56.0</v>
      </c>
      <c r="G13" s="46">
        <f t="shared" si="1"/>
        <v>5</v>
      </c>
      <c r="H13" s="39">
        <f>SUM(IF(AND(AERO!C13:C111 &gt; 0, AERO!D13:D111 = 0, AERO!F13:F111 &gt; 0), 1, 0))</f>
        <v>0</v>
      </c>
      <c r="I13" s="53">
        <f t="shared" si="2"/>
        <v>0.08928571429</v>
      </c>
      <c r="J13" s="47"/>
      <c r="K13" s="42"/>
      <c r="L13" s="43"/>
      <c r="M13" s="43"/>
      <c r="N13" s="43"/>
    </row>
    <row r="14">
      <c r="A14" s="36" t="s">
        <v>539</v>
      </c>
      <c r="B14" s="37">
        <f>SUM(ISEN!C2:C885)</f>
        <v>9</v>
      </c>
      <c r="C14" s="37">
        <f>SUM(ISEN!D2:D885)</f>
        <v>5</v>
      </c>
      <c r="D14" s="37">
        <f>SUM(ISEN!E2:E885)</f>
        <v>7</v>
      </c>
      <c r="E14" s="37">
        <f>SUM(ISEN!F2:F885)</f>
        <v>3</v>
      </c>
      <c r="F14" s="38">
        <v>78.0</v>
      </c>
      <c r="G14" s="38">
        <f t="shared" si="1"/>
        <v>8</v>
      </c>
      <c r="H14" s="39">
        <f>SUM(IF(AND(AERO!C14:C112 &gt; 0, AERO!D14:D112 = 0, AERO!F14:F112 &gt; 0), 1, 0))</f>
        <v>0</v>
      </c>
      <c r="I14" s="54">
        <f t="shared" si="2"/>
        <v>0.1025641026</v>
      </c>
      <c r="J14" s="47"/>
      <c r="K14" s="42"/>
      <c r="L14" s="43"/>
      <c r="M14" s="43"/>
      <c r="N14" s="43"/>
    </row>
    <row r="15">
      <c r="A15" s="44" t="s">
        <v>540</v>
      </c>
      <c r="B15" s="45">
        <f>SUM(MEEN!C2:C885)</f>
        <v>125</v>
      </c>
      <c r="C15" s="45">
        <f>SUM(MEEN!D2:D885)</f>
        <v>108</v>
      </c>
      <c r="D15" s="45">
        <f>SUM(MEEN!E2:E885)</f>
        <v>109</v>
      </c>
      <c r="E15" s="45">
        <f>SUM(MEEN!F2:F885)</f>
        <v>102</v>
      </c>
      <c r="F15" s="46">
        <v>114.0</v>
      </c>
      <c r="G15" s="46">
        <f t="shared" si="1"/>
        <v>210</v>
      </c>
      <c r="H15" s="39">
        <f>SUM(IF(AND(AERO!C15:C113 &gt; 0, AERO!D15:D113 = 0, AERO!F15:F113 &gt; 0), 1, 0))</f>
        <v>0</v>
      </c>
      <c r="I15" s="50">
        <f t="shared" si="2"/>
        <v>1.842105263</v>
      </c>
      <c r="J15" s="47"/>
      <c r="K15" s="42"/>
      <c r="L15" s="43"/>
      <c r="M15" s="43"/>
      <c r="N15" s="43"/>
    </row>
    <row r="16">
      <c r="A16" s="36" t="s">
        <v>541</v>
      </c>
      <c r="B16" s="37">
        <f>SUM(MMET!C2:C885)</f>
        <v>6</v>
      </c>
      <c r="C16" s="37">
        <f>SUM(MMET!D2:D885)</f>
        <v>6</v>
      </c>
      <c r="D16" s="37">
        <f>SUM(MMET!E2:E885)</f>
        <v>10</v>
      </c>
      <c r="E16" s="37">
        <f>SUM(MMET!F2:F885)</f>
        <v>6</v>
      </c>
      <c r="F16" s="38">
        <v>26.0</v>
      </c>
      <c r="G16" s="55">
        <f t="shared" si="1"/>
        <v>12</v>
      </c>
      <c r="H16" s="39">
        <f>SUM(IF(AND(AERO!C16:C114 &gt; 0, AERO!D16:D114 = 0, AERO!F16:F114 &gt; 0), 1, 0))</f>
        <v>0</v>
      </c>
      <c r="I16" s="50">
        <f t="shared" si="2"/>
        <v>0.4615384615</v>
      </c>
      <c r="J16" s="47"/>
      <c r="K16" s="42"/>
      <c r="L16" s="43"/>
      <c r="M16" s="43"/>
      <c r="N16" s="43"/>
    </row>
    <row r="17">
      <c r="A17" s="44" t="s">
        <v>542</v>
      </c>
      <c r="B17" s="45">
        <f>sum(MSEN!C2:C885)</f>
        <v>7</v>
      </c>
      <c r="C17" s="45">
        <f>sum(MSEN!D2:D885)</f>
        <v>3</v>
      </c>
      <c r="D17" s="45">
        <f>sum(MSEN!E2:E885)</f>
        <v>1</v>
      </c>
      <c r="E17" s="45">
        <f>sum(MSEN!F2:F885)</f>
        <v>1</v>
      </c>
      <c r="F17" s="46">
        <v>24.0</v>
      </c>
      <c r="G17" s="56">
        <f t="shared" si="1"/>
        <v>4</v>
      </c>
      <c r="H17" s="39">
        <f>SUM(IF(AND(AERO!C17:C115 &gt; 0, AERO!D17:D115 = 0, AERO!F17:F115 &gt; 0), 1, 0))</f>
        <v>0</v>
      </c>
      <c r="I17" s="52">
        <f t="shared" si="2"/>
        <v>0.1666666667</v>
      </c>
      <c r="J17" s="47"/>
      <c r="K17" s="42"/>
      <c r="L17" s="43"/>
      <c r="M17" s="43"/>
      <c r="N17" s="43"/>
    </row>
    <row r="18">
      <c r="A18" s="36" t="s">
        <v>543</v>
      </c>
      <c r="B18" s="37">
        <f>SUM(MXET!C2:C885)</f>
        <v>2</v>
      </c>
      <c r="C18" s="37">
        <f>SUM(MXET!D2:D885)</f>
        <v>2</v>
      </c>
      <c r="D18" s="37">
        <f>SUM(MXET!E2:E885)</f>
        <v>2</v>
      </c>
      <c r="E18" s="37">
        <f>SUM(MXET!F2:F885)</f>
        <v>2</v>
      </c>
      <c r="F18" s="38">
        <v>26.0</v>
      </c>
      <c r="G18" s="55">
        <f t="shared" si="1"/>
        <v>4</v>
      </c>
      <c r="H18" s="39">
        <f>SUM(IF(AND(AERO!C18:C116 &gt; 0, AERO!D18:D116 = 0, AERO!F18:F116 &gt; 0), 1, 0))</f>
        <v>0</v>
      </c>
      <c r="I18" s="57">
        <f t="shared" si="2"/>
        <v>0.1538461538</v>
      </c>
      <c r="J18" s="47"/>
      <c r="K18" s="42"/>
      <c r="L18" s="43"/>
      <c r="M18" s="43"/>
      <c r="N18" s="43"/>
    </row>
    <row r="19">
      <c r="A19" s="44" t="s">
        <v>544</v>
      </c>
      <c r="B19" s="45">
        <f>SUM(NUEN!C2:C885)</f>
        <v>7</v>
      </c>
      <c r="C19" s="45">
        <f>SUM(NUEN!D2:D885)</f>
        <v>7</v>
      </c>
      <c r="D19" s="45">
        <f>SUM(NUEN!E2:E885)</f>
        <v>5</v>
      </c>
      <c r="E19" s="45">
        <f>SUM(NUEN!F2:F885)</f>
        <v>5</v>
      </c>
      <c r="F19" s="46">
        <v>24.0</v>
      </c>
      <c r="G19" s="56">
        <f t="shared" si="1"/>
        <v>12</v>
      </c>
      <c r="H19" s="39">
        <f>SUM(IF(AND(AERO!C19:C117 &gt; 0, AERO!D19:D117 = 0, AERO!F19:F117 &gt; 0), 1, 0))</f>
        <v>0</v>
      </c>
      <c r="I19" s="58">
        <f t="shared" si="2"/>
        <v>0.5</v>
      </c>
      <c r="J19" s="47"/>
      <c r="K19" s="42"/>
      <c r="L19" s="43"/>
      <c r="M19" s="43"/>
      <c r="N19" s="43"/>
    </row>
    <row r="20">
      <c r="A20" s="36" t="s">
        <v>545</v>
      </c>
      <c r="B20" s="37">
        <f>SUM(OCEN!C2:C885)</f>
        <v>5</v>
      </c>
      <c r="C20" s="37">
        <f>SUM(OCEN!D2:D885)</f>
        <v>4</v>
      </c>
      <c r="D20" s="37">
        <f>SUM(OCEN!E2:E885)</f>
        <v>3</v>
      </c>
      <c r="E20" s="37">
        <f>SUM(OCEN!F2:F885)</f>
        <v>2</v>
      </c>
      <c r="F20" s="38">
        <v>14.0</v>
      </c>
      <c r="G20" s="55">
        <f t="shared" si="1"/>
        <v>6</v>
      </c>
      <c r="H20" s="39">
        <f>SUM(IF(AND(AERO!C20:C118 &gt; 0, AERO!D20:D118 = 0, AERO!F20:F118 &gt; 0), 1, 0))</f>
        <v>0</v>
      </c>
      <c r="I20" s="59">
        <f t="shared" si="2"/>
        <v>0.4285714286</v>
      </c>
      <c r="J20" s="47"/>
      <c r="K20" s="42"/>
      <c r="L20" s="43"/>
      <c r="M20" s="43"/>
      <c r="N20" s="43"/>
    </row>
    <row r="21">
      <c r="A21" s="44" t="s">
        <v>546</v>
      </c>
      <c r="B21" s="45">
        <f>SUM(PETE!C2:C885)</f>
        <v>18</v>
      </c>
      <c r="C21" s="45">
        <f>SUM(PETE!D2:D885)</f>
        <v>17</v>
      </c>
      <c r="D21" s="45">
        <f>SUM(PETE!E2:E885)</f>
        <v>12</v>
      </c>
      <c r="E21" s="45">
        <f>SUM(PETE!F2:F885)</f>
        <v>13</v>
      </c>
      <c r="F21" s="46">
        <v>26.0</v>
      </c>
      <c r="G21" s="56">
        <f t="shared" si="1"/>
        <v>30</v>
      </c>
      <c r="H21" s="39">
        <f>SUM(IF(AND(AERO!C21:C119 &gt; 0, AERO!D21:D119 = 0, AERO!F21:F119 &gt; 0), 1, 0))</f>
        <v>0</v>
      </c>
      <c r="I21" s="50">
        <f t="shared" si="2"/>
        <v>1.153846154</v>
      </c>
      <c r="J21" s="47"/>
      <c r="K21" s="42"/>
      <c r="L21" s="43"/>
      <c r="M21" s="43"/>
      <c r="N21" s="43"/>
    </row>
    <row r="22">
      <c r="A22" s="36" t="s">
        <v>547</v>
      </c>
      <c r="B22" s="37">
        <f>SUM(DATA!C2:C885)</f>
        <v>2</v>
      </c>
      <c r="C22" s="37">
        <f>SUM(DATA!D2:D885)</f>
        <v>2</v>
      </c>
      <c r="D22" s="37">
        <f>SUM(DATA!E2:E885)</f>
        <v>2</v>
      </c>
      <c r="E22" s="37">
        <f>SUM(DATA!F2:F885)</f>
        <v>2</v>
      </c>
      <c r="F22" s="38">
        <v>4.0</v>
      </c>
      <c r="G22" s="55">
        <f t="shared" si="1"/>
        <v>4</v>
      </c>
      <c r="H22" s="39">
        <f>SUM(IF(AND(AERO!C22:C120 &gt; 0, AERO!D22:D120 = 0, AERO!F22:F120 &gt; 0), 1, 0))</f>
        <v>0</v>
      </c>
      <c r="I22" s="60">
        <f t="shared" si="2"/>
        <v>1</v>
      </c>
      <c r="J22" s="47"/>
      <c r="K22" s="42"/>
      <c r="L22" s="43"/>
      <c r="M22" s="43"/>
      <c r="N22" s="43"/>
    </row>
    <row r="23">
      <c r="A23" s="7"/>
      <c r="B23" s="8">
        <f t="shared" ref="B23:E23" si="5">SUM(B2:B22)</f>
        <v>516</v>
      </c>
      <c r="C23" s="8">
        <f t="shared" si="5"/>
        <v>439</v>
      </c>
      <c r="D23" s="8">
        <f t="shared" si="5"/>
        <v>374</v>
      </c>
      <c r="E23" s="8">
        <f t="shared" si="5"/>
        <v>358</v>
      </c>
      <c r="F23" s="21"/>
      <c r="G23" s="34"/>
      <c r="H23" s="34"/>
      <c r="I23" s="34"/>
      <c r="J23" s="34"/>
    </row>
    <row r="24">
      <c r="A24" s="7"/>
      <c r="B24" s="8"/>
      <c r="C24" s="8">
        <f>C23/450</f>
        <v>0.9755555556</v>
      </c>
      <c r="D24" s="8"/>
      <c r="E24" s="8">
        <f>E23/450</f>
        <v>0.7955555556</v>
      </c>
      <c r="F24" s="34"/>
      <c r="G24" s="34"/>
      <c r="H24" s="34"/>
      <c r="I24" s="34"/>
      <c r="J24" s="34"/>
    </row>
    <row r="25">
      <c r="A25" s="7"/>
      <c r="B25" s="8"/>
      <c r="C25" s="8"/>
      <c r="D25" s="8"/>
      <c r="E25" s="8"/>
      <c r="F25" s="34"/>
      <c r="G25" s="34"/>
      <c r="H25" s="34"/>
      <c r="I25" s="34"/>
      <c r="J25" s="34"/>
    </row>
    <row r="26">
      <c r="A26" s="7"/>
      <c r="B26" s="8"/>
      <c r="C26" s="8"/>
      <c r="D26" s="8"/>
      <c r="E26" s="8"/>
      <c r="F26" s="34"/>
      <c r="G26" s="34"/>
      <c r="H26" s="34"/>
      <c r="I26" s="34"/>
      <c r="J26" s="34"/>
    </row>
    <row r="27">
      <c r="A27" s="7"/>
      <c r="B27" s="8"/>
      <c r="C27" s="8"/>
      <c r="D27" s="8"/>
      <c r="E27" s="8"/>
      <c r="F27" s="34"/>
      <c r="G27" s="34"/>
      <c r="H27" s="34"/>
      <c r="I27" s="34"/>
      <c r="J27" s="34"/>
    </row>
    <row r="28">
      <c r="A28" s="7"/>
      <c r="B28" s="8"/>
      <c r="C28" s="8"/>
      <c r="D28" s="8"/>
      <c r="E28" s="8"/>
      <c r="F28" s="34"/>
      <c r="G28" s="34"/>
      <c r="H28" s="34"/>
      <c r="I28" s="34"/>
      <c r="J28" s="34"/>
    </row>
    <row r="29">
      <c r="A29" s="7"/>
      <c r="B29" s="8"/>
      <c r="C29" s="8"/>
      <c r="D29" s="8"/>
      <c r="E29" s="8"/>
      <c r="F29" s="34"/>
      <c r="G29" s="34"/>
      <c r="H29" s="34"/>
      <c r="I29" s="34"/>
      <c r="J29" s="34"/>
    </row>
    <row r="30">
      <c r="A30" s="7"/>
      <c r="B30" s="8"/>
      <c r="C30" s="8"/>
      <c r="D30" s="8"/>
      <c r="E30" s="8"/>
      <c r="F30" s="34"/>
      <c r="G30" s="34"/>
      <c r="H30" s="34"/>
      <c r="I30" s="34"/>
      <c r="J30" s="34"/>
    </row>
    <row r="31">
      <c r="A31" s="7"/>
      <c r="B31" s="8"/>
      <c r="C31" s="8"/>
      <c r="D31" s="8"/>
      <c r="E31" s="8"/>
      <c r="F31" s="34"/>
      <c r="G31" s="34"/>
      <c r="H31" s="34"/>
      <c r="I31" s="34"/>
      <c r="J31" s="34"/>
    </row>
    <row r="32">
      <c r="A32" s="7"/>
      <c r="B32" s="8"/>
      <c r="C32" s="8"/>
      <c r="D32" s="8"/>
      <c r="E32" s="8"/>
      <c r="F32" s="34"/>
      <c r="G32" s="34"/>
      <c r="H32" s="34"/>
      <c r="I32" s="34"/>
      <c r="J32" s="34"/>
    </row>
    <row r="33">
      <c r="A33" s="7"/>
      <c r="B33" s="8"/>
      <c r="C33" s="8"/>
      <c r="D33" s="8"/>
      <c r="E33" s="8"/>
      <c r="F33" s="34"/>
      <c r="G33" s="34"/>
      <c r="H33" s="34"/>
      <c r="I33" s="34"/>
      <c r="J33" s="34"/>
    </row>
    <row r="34">
      <c r="A34" s="7"/>
      <c r="B34" s="8"/>
      <c r="C34" s="8"/>
      <c r="D34" s="8"/>
      <c r="E34" s="8"/>
      <c r="F34" s="34"/>
      <c r="G34" s="34"/>
      <c r="H34" s="34"/>
      <c r="I34" s="34"/>
      <c r="J34" s="34"/>
    </row>
    <row r="35">
      <c r="A35" s="7"/>
      <c r="B35" s="8"/>
      <c r="C35" s="8"/>
      <c r="D35" s="8"/>
      <c r="E35" s="8"/>
      <c r="F35" s="34"/>
      <c r="G35" s="34"/>
      <c r="H35" s="34"/>
      <c r="I35" s="34"/>
      <c r="J35" s="34"/>
    </row>
    <row r="36">
      <c r="A36" s="7"/>
      <c r="B36" s="8"/>
      <c r="C36" s="8"/>
      <c r="D36" s="8"/>
      <c r="E36" s="8"/>
      <c r="F36" s="34"/>
      <c r="G36" s="34"/>
      <c r="H36" s="34"/>
      <c r="I36" s="34"/>
      <c r="J36" s="34"/>
    </row>
    <row r="37">
      <c r="A37" s="7"/>
      <c r="B37" s="8"/>
      <c r="C37" s="8"/>
      <c r="D37" s="8"/>
      <c r="E37" s="8"/>
      <c r="F37" s="34"/>
      <c r="G37" s="34"/>
      <c r="H37" s="34"/>
      <c r="I37" s="34"/>
      <c r="J37" s="34"/>
    </row>
    <row r="38">
      <c r="A38" s="7"/>
      <c r="B38" s="8"/>
      <c r="C38" s="8"/>
      <c r="D38" s="8"/>
      <c r="E38" s="8"/>
      <c r="F38" s="34"/>
      <c r="G38" s="34"/>
      <c r="H38" s="34"/>
      <c r="I38" s="34"/>
      <c r="J38" s="34"/>
    </row>
    <row r="39">
      <c r="A39" s="7"/>
      <c r="B39" s="8"/>
      <c r="C39" s="8"/>
      <c r="D39" s="8"/>
      <c r="E39" s="8"/>
      <c r="F39" s="34"/>
      <c r="G39" s="34"/>
      <c r="H39" s="34"/>
      <c r="I39" s="34"/>
      <c r="J39" s="34"/>
    </row>
    <row r="40">
      <c r="A40" s="7"/>
      <c r="B40" s="8"/>
      <c r="C40" s="8"/>
      <c r="D40" s="8"/>
      <c r="E40" s="8"/>
      <c r="F40" s="34"/>
      <c r="G40" s="34"/>
      <c r="H40" s="34"/>
      <c r="I40" s="34"/>
      <c r="J40" s="34"/>
    </row>
    <row r="41">
      <c r="A41" s="7"/>
      <c r="B41" s="8"/>
      <c r="C41" s="8"/>
      <c r="D41" s="8"/>
      <c r="E41" s="8"/>
      <c r="F41" s="34"/>
      <c r="G41" s="34"/>
      <c r="H41" s="34"/>
      <c r="I41" s="34"/>
      <c r="J41" s="34"/>
    </row>
    <row r="42">
      <c r="A42" s="7"/>
      <c r="B42" s="8"/>
      <c r="C42" s="8"/>
      <c r="D42" s="8"/>
      <c r="E42" s="8"/>
      <c r="F42" s="34"/>
      <c r="G42" s="34"/>
      <c r="H42" s="34"/>
      <c r="I42" s="34"/>
      <c r="J42" s="34"/>
    </row>
    <row r="43">
      <c r="A43" s="7"/>
      <c r="B43" s="8"/>
      <c r="C43" s="8"/>
      <c r="D43" s="8"/>
      <c r="E43" s="8"/>
      <c r="F43" s="34"/>
      <c r="G43" s="34"/>
      <c r="H43" s="34"/>
      <c r="I43" s="34"/>
      <c r="J43" s="34"/>
    </row>
    <row r="44">
      <c r="A44" s="7"/>
      <c r="B44" s="8"/>
      <c r="C44" s="8"/>
      <c r="D44" s="8"/>
      <c r="E44" s="8"/>
      <c r="F44" s="34"/>
      <c r="G44" s="34"/>
      <c r="H44" s="34"/>
      <c r="I44" s="34"/>
      <c r="J44" s="34"/>
    </row>
    <row r="45">
      <c r="A45" s="7"/>
      <c r="B45" s="8"/>
      <c r="C45" s="8"/>
      <c r="D45" s="8"/>
      <c r="E45" s="8"/>
      <c r="F45" s="34"/>
      <c r="G45" s="34"/>
      <c r="H45" s="34"/>
      <c r="I45" s="34"/>
      <c r="J45" s="34"/>
    </row>
    <row r="46">
      <c r="A46" s="7"/>
      <c r="B46" s="8"/>
      <c r="C46" s="8"/>
      <c r="D46" s="8"/>
      <c r="E46" s="8"/>
      <c r="F46" s="34"/>
      <c r="G46" s="34"/>
      <c r="H46" s="34"/>
      <c r="I46" s="34"/>
      <c r="J46" s="34"/>
    </row>
    <row r="47">
      <c r="A47" s="7"/>
      <c r="B47" s="8"/>
      <c r="C47" s="8"/>
      <c r="D47" s="8"/>
      <c r="E47" s="8"/>
      <c r="F47" s="34"/>
      <c r="G47" s="34"/>
      <c r="H47" s="34"/>
      <c r="I47" s="34"/>
      <c r="J47" s="34"/>
    </row>
    <row r="48">
      <c r="A48" s="7"/>
      <c r="B48" s="8"/>
      <c r="C48" s="8"/>
      <c r="D48" s="8"/>
      <c r="E48" s="8"/>
      <c r="F48" s="34"/>
      <c r="G48" s="34"/>
      <c r="H48" s="34"/>
      <c r="I48" s="34"/>
      <c r="J48" s="34"/>
    </row>
    <row r="49">
      <c r="A49" s="7"/>
      <c r="B49" s="8"/>
      <c r="C49" s="8"/>
      <c r="D49" s="8"/>
      <c r="E49" s="8"/>
      <c r="F49" s="34"/>
      <c r="G49" s="34"/>
      <c r="H49" s="34"/>
      <c r="I49" s="34"/>
      <c r="J49" s="34"/>
    </row>
    <row r="50">
      <c r="A50" s="7"/>
      <c r="B50" s="8"/>
      <c r="C50" s="8"/>
      <c r="D50" s="8"/>
      <c r="E50" s="8"/>
      <c r="F50" s="34"/>
      <c r="G50" s="34"/>
      <c r="H50" s="34"/>
      <c r="I50" s="34"/>
      <c r="J50" s="34"/>
    </row>
    <row r="51">
      <c r="A51" s="7"/>
      <c r="B51" s="8"/>
      <c r="C51" s="8"/>
      <c r="D51" s="8"/>
      <c r="E51" s="8"/>
      <c r="F51" s="34"/>
      <c r="G51" s="34"/>
      <c r="H51" s="34"/>
      <c r="I51" s="34"/>
      <c r="J51" s="34"/>
    </row>
    <row r="52">
      <c r="A52" s="7"/>
      <c r="B52" s="8"/>
      <c r="C52" s="8"/>
      <c r="D52" s="8"/>
      <c r="E52" s="8"/>
      <c r="F52" s="34"/>
      <c r="G52" s="34"/>
      <c r="H52" s="34"/>
      <c r="I52" s="34"/>
      <c r="J52" s="34"/>
    </row>
    <row r="53">
      <c r="A53" s="7"/>
      <c r="B53" s="8"/>
      <c r="C53" s="8"/>
      <c r="D53" s="8"/>
      <c r="E53" s="8"/>
      <c r="F53" s="34"/>
      <c r="G53" s="34"/>
      <c r="H53" s="34"/>
      <c r="I53" s="34"/>
      <c r="J53" s="34"/>
    </row>
    <row r="54">
      <c r="A54" s="7"/>
      <c r="B54" s="8"/>
      <c r="C54" s="8"/>
      <c r="D54" s="8"/>
      <c r="E54" s="8"/>
      <c r="F54" s="34"/>
      <c r="G54" s="34"/>
      <c r="H54" s="34"/>
      <c r="I54" s="34"/>
      <c r="J54" s="34"/>
    </row>
    <row r="55">
      <c r="A55" s="7"/>
      <c r="B55" s="8"/>
      <c r="C55" s="8"/>
      <c r="D55" s="8"/>
      <c r="E55" s="8"/>
      <c r="F55" s="34"/>
      <c r="G55" s="34"/>
      <c r="H55" s="34"/>
      <c r="I55" s="34"/>
      <c r="J55" s="34"/>
    </row>
    <row r="56">
      <c r="A56" s="7"/>
      <c r="B56" s="8"/>
      <c r="C56" s="8"/>
      <c r="D56" s="8"/>
      <c r="E56" s="8"/>
      <c r="F56" s="34"/>
      <c r="G56" s="34"/>
      <c r="H56" s="34"/>
      <c r="I56" s="34"/>
      <c r="J56" s="34"/>
    </row>
    <row r="57">
      <c r="A57" s="7"/>
      <c r="B57" s="8"/>
      <c r="C57" s="8"/>
      <c r="D57" s="8"/>
      <c r="E57" s="8"/>
      <c r="F57" s="34"/>
      <c r="G57" s="34"/>
      <c r="H57" s="34"/>
      <c r="I57" s="34"/>
      <c r="J57" s="34"/>
    </row>
    <row r="58">
      <c r="A58" s="7"/>
      <c r="B58" s="8"/>
      <c r="C58" s="8"/>
      <c r="D58" s="8"/>
      <c r="E58" s="8"/>
      <c r="F58" s="34"/>
      <c r="G58" s="34"/>
      <c r="H58" s="34"/>
      <c r="I58" s="34"/>
      <c r="J58" s="34"/>
    </row>
    <row r="59">
      <c r="A59" s="7"/>
      <c r="B59" s="8"/>
      <c r="C59" s="8"/>
      <c r="D59" s="8"/>
      <c r="E59" s="8"/>
      <c r="F59" s="34"/>
      <c r="G59" s="34"/>
      <c r="H59" s="34"/>
      <c r="I59" s="34"/>
      <c r="J59" s="34"/>
    </row>
    <row r="60">
      <c r="A60" s="7"/>
      <c r="B60" s="8"/>
      <c r="C60" s="8"/>
      <c r="D60" s="8"/>
      <c r="E60" s="8"/>
      <c r="F60" s="34"/>
      <c r="G60" s="34"/>
      <c r="H60" s="34"/>
      <c r="I60" s="34"/>
      <c r="J60" s="34"/>
    </row>
    <row r="61">
      <c r="A61" s="7"/>
      <c r="B61" s="8"/>
      <c r="C61" s="8"/>
      <c r="D61" s="8"/>
      <c r="E61" s="8"/>
      <c r="F61" s="34"/>
      <c r="G61" s="34"/>
      <c r="H61" s="34"/>
      <c r="I61" s="34"/>
      <c r="J61" s="34"/>
    </row>
    <row r="62">
      <c r="A62" s="7"/>
      <c r="B62" s="8"/>
      <c r="C62" s="8"/>
      <c r="D62" s="8"/>
      <c r="E62" s="8"/>
      <c r="F62" s="34"/>
      <c r="G62" s="34"/>
      <c r="H62" s="34"/>
      <c r="I62" s="34"/>
      <c r="J62" s="34"/>
    </row>
    <row r="63">
      <c r="A63" s="7"/>
      <c r="B63" s="8"/>
      <c r="C63" s="8"/>
      <c r="D63" s="8"/>
      <c r="E63" s="8"/>
      <c r="F63" s="34"/>
      <c r="G63" s="34"/>
      <c r="H63" s="34"/>
      <c r="I63" s="34"/>
      <c r="J63" s="34"/>
    </row>
    <row r="64">
      <c r="A64" s="7"/>
      <c r="B64" s="8"/>
      <c r="C64" s="8"/>
      <c r="D64" s="8"/>
      <c r="E64" s="8"/>
      <c r="F64" s="34"/>
      <c r="G64" s="34"/>
      <c r="H64" s="34"/>
      <c r="I64" s="34"/>
      <c r="J64" s="34"/>
    </row>
    <row r="65">
      <c r="A65" s="7"/>
      <c r="B65" s="8"/>
      <c r="C65" s="8"/>
      <c r="D65" s="8"/>
      <c r="E65" s="8"/>
      <c r="F65" s="34"/>
      <c r="G65" s="34"/>
      <c r="H65" s="34"/>
      <c r="I65" s="34"/>
      <c r="J65" s="34"/>
    </row>
    <row r="66">
      <c r="A66" s="7"/>
      <c r="B66" s="8"/>
      <c r="C66" s="8"/>
      <c r="D66" s="8"/>
      <c r="E66" s="8"/>
      <c r="F66" s="34"/>
      <c r="G66" s="34"/>
      <c r="H66" s="34"/>
      <c r="I66" s="34"/>
      <c r="J66" s="34"/>
    </row>
    <row r="67">
      <c r="A67" s="7"/>
      <c r="B67" s="8"/>
      <c r="C67" s="8"/>
      <c r="D67" s="8"/>
      <c r="E67" s="8"/>
      <c r="F67" s="34"/>
      <c r="G67" s="34"/>
      <c r="H67" s="34"/>
      <c r="I67" s="34"/>
      <c r="J67" s="34"/>
    </row>
    <row r="68">
      <c r="A68" s="7"/>
      <c r="B68" s="8"/>
      <c r="C68" s="8"/>
      <c r="D68" s="8"/>
      <c r="E68" s="8"/>
      <c r="F68" s="34"/>
      <c r="G68" s="34"/>
      <c r="H68" s="34"/>
      <c r="I68" s="34"/>
      <c r="J68" s="34"/>
    </row>
    <row r="69">
      <c r="A69" s="7"/>
      <c r="B69" s="8"/>
      <c r="C69" s="8"/>
      <c r="D69" s="8"/>
      <c r="E69" s="8"/>
      <c r="F69" s="34"/>
      <c r="G69" s="34"/>
      <c r="H69" s="34"/>
      <c r="I69" s="34"/>
      <c r="J69" s="34"/>
    </row>
    <row r="70">
      <c r="A70" s="7"/>
      <c r="B70" s="8"/>
      <c r="C70" s="8"/>
      <c r="D70" s="8"/>
      <c r="E70" s="8"/>
      <c r="F70" s="34"/>
      <c r="G70" s="34"/>
      <c r="H70" s="34"/>
      <c r="I70" s="34"/>
      <c r="J70" s="34"/>
    </row>
    <row r="71">
      <c r="A71" s="7"/>
      <c r="B71" s="8"/>
      <c r="C71" s="8"/>
      <c r="D71" s="8"/>
      <c r="E71" s="8"/>
      <c r="F71" s="34"/>
      <c r="G71" s="34"/>
      <c r="H71" s="34"/>
      <c r="I71" s="34"/>
      <c r="J71" s="34"/>
    </row>
    <row r="72">
      <c r="A72" s="7"/>
      <c r="B72" s="8"/>
      <c r="C72" s="8"/>
      <c r="D72" s="8"/>
      <c r="E72" s="8"/>
      <c r="F72" s="34"/>
      <c r="G72" s="34"/>
      <c r="H72" s="34"/>
      <c r="I72" s="34"/>
      <c r="J72" s="34"/>
    </row>
    <row r="73">
      <c r="A73" s="7"/>
      <c r="B73" s="8"/>
      <c r="C73" s="8"/>
      <c r="D73" s="8"/>
      <c r="E73" s="8"/>
      <c r="F73" s="34"/>
      <c r="G73" s="34"/>
      <c r="H73" s="34"/>
      <c r="I73" s="34"/>
      <c r="J73" s="34"/>
    </row>
    <row r="74">
      <c r="A74" s="7"/>
      <c r="B74" s="8"/>
      <c r="C74" s="8"/>
      <c r="D74" s="8"/>
      <c r="E74" s="8"/>
      <c r="F74" s="34"/>
      <c r="G74" s="34"/>
      <c r="H74" s="34"/>
      <c r="I74" s="34"/>
      <c r="J74" s="34"/>
    </row>
    <row r="75">
      <c r="A75" s="7"/>
      <c r="B75" s="8"/>
      <c r="C75" s="8"/>
      <c r="D75" s="8"/>
      <c r="E75" s="8"/>
      <c r="F75" s="34"/>
      <c r="G75" s="34"/>
      <c r="H75" s="34"/>
      <c r="I75" s="34"/>
      <c r="J75" s="34"/>
    </row>
    <row r="76">
      <c r="A76" s="7"/>
      <c r="B76" s="8"/>
      <c r="C76" s="8"/>
      <c r="D76" s="8"/>
      <c r="E76" s="8"/>
      <c r="F76" s="34"/>
      <c r="G76" s="34"/>
      <c r="H76" s="34"/>
      <c r="I76" s="34"/>
      <c r="J76" s="34"/>
    </row>
    <row r="77">
      <c r="A77" s="7"/>
      <c r="B77" s="8"/>
      <c r="C77" s="8"/>
      <c r="D77" s="8"/>
      <c r="E77" s="8"/>
      <c r="F77" s="34"/>
      <c r="G77" s="34"/>
      <c r="H77" s="34"/>
      <c r="I77" s="34"/>
      <c r="J77" s="34"/>
    </row>
    <row r="78">
      <c r="A78" s="7"/>
      <c r="B78" s="8"/>
      <c r="C78" s="8"/>
      <c r="D78" s="8"/>
      <c r="E78" s="8"/>
      <c r="F78" s="34"/>
      <c r="G78" s="34"/>
      <c r="H78" s="34"/>
      <c r="I78" s="34"/>
      <c r="J78" s="34"/>
    </row>
    <row r="79">
      <c r="A79" s="7"/>
      <c r="B79" s="8"/>
      <c r="C79" s="8"/>
      <c r="D79" s="8"/>
      <c r="E79" s="8"/>
      <c r="F79" s="34"/>
      <c r="G79" s="34"/>
      <c r="H79" s="34"/>
      <c r="I79" s="34"/>
      <c r="J79" s="34"/>
    </row>
    <row r="80">
      <c r="A80" s="7"/>
      <c r="B80" s="8"/>
      <c r="C80" s="8"/>
      <c r="D80" s="8"/>
      <c r="E80" s="8"/>
      <c r="F80" s="34"/>
      <c r="G80" s="34"/>
      <c r="H80" s="34"/>
      <c r="I80" s="34"/>
      <c r="J80" s="34"/>
    </row>
    <row r="81">
      <c r="A81" s="7"/>
      <c r="B81" s="8"/>
      <c r="C81" s="8"/>
      <c r="D81" s="8"/>
      <c r="E81" s="8"/>
      <c r="F81" s="34"/>
      <c r="G81" s="34"/>
      <c r="H81" s="34"/>
      <c r="I81" s="34"/>
      <c r="J81" s="34"/>
    </row>
    <row r="82">
      <c r="A82" s="7"/>
      <c r="B82" s="8"/>
      <c r="C82" s="8"/>
      <c r="D82" s="8"/>
      <c r="E82" s="8"/>
      <c r="F82" s="34"/>
      <c r="G82" s="34"/>
      <c r="H82" s="34"/>
      <c r="I82" s="34"/>
      <c r="J82" s="34"/>
    </row>
    <row r="83">
      <c r="A83" s="7"/>
      <c r="B83" s="8"/>
      <c r="C83" s="8"/>
      <c r="D83" s="8"/>
      <c r="E83" s="8"/>
      <c r="F83" s="34"/>
      <c r="G83" s="34"/>
      <c r="H83" s="34"/>
      <c r="I83" s="34"/>
      <c r="J83" s="34"/>
    </row>
    <row r="84">
      <c r="A84" s="7"/>
      <c r="B84" s="8"/>
      <c r="C84" s="8"/>
      <c r="D84" s="8"/>
      <c r="E84" s="8"/>
      <c r="F84" s="34"/>
      <c r="G84" s="34"/>
      <c r="H84" s="34"/>
      <c r="I84" s="34"/>
      <c r="J84" s="34"/>
    </row>
    <row r="85">
      <c r="A85" s="7"/>
      <c r="B85" s="8"/>
      <c r="C85" s="8"/>
      <c r="D85" s="8"/>
      <c r="E85" s="8"/>
      <c r="F85" s="34"/>
      <c r="G85" s="34"/>
      <c r="H85" s="34"/>
      <c r="I85" s="34"/>
      <c r="J85" s="34"/>
    </row>
    <row r="86">
      <c r="A86" s="7"/>
      <c r="B86" s="8"/>
      <c r="C86" s="8"/>
      <c r="D86" s="8"/>
      <c r="E86" s="8"/>
      <c r="F86" s="34"/>
      <c r="G86" s="34"/>
      <c r="H86" s="34"/>
      <c r="I86" s="34"/>
      <c r="J86" s="34"/>
    </row>
    <row r="87">
      <c r="A87" s="7"/>
      <c r="B87" s="8"/>
      <c r="C87" s="8"/>
      <c r="D87" s="8"/>
      <c r="E87" s="8"/>
      <c r="F87" s="34"/>
      <c r="G87" s="34"/>
      <c r="H87" s="34"/>
      <c r="I87" s="34"/>
      <c r="J87" s="34"/>
    </row>
    <row r="88">
      <c r="A88" s="7"/>
      <c r="B88" s="8"/>
      <c r="C88" s="8"/>
      <c r="D88" s="8"/>
      <c r="E88" s="8"/>
      <c r="F88" s="34"/>
      <c r="G88" s="34"/>
      <c r="H88" s="34"/>
      <c r="I88" s="34"/>
      <c r="J88" s="34"/>
    </row>
    <row r="89">
      <c r="A89" s="7"/>
      <c r="B89" s="8"/>
      <c r="C89" s="8"/>
      <c r="D89" s="8"/>
      <c r="E89" s="8"/>
      <c r="F89" s="34"/>
      <c r="G89" s="34"/>
      <c r="H89" s="34"/>
      <c r="I89" s="34"/>
      <c r="J89" s="34"/>
    </row>
    <row r="90">
      <c r="A90" s="7"/>
      <c r="B90" s="8"/>
      <c r="C90" s="8"/>
      <c r="D90" s="8"/>
      <c r="E90" s="8"/>
      <c r="F90" s="34"/>
      <c r="G90" s="34"/>
      <c r="H90" s="34"/>
      <c r="I90" s="34"/>
      <c r="J90" s="34"/>
    </row>
    <row r="91">
      <c r="A91" s="7"/>
      <c r="B91" s="8"/>
      <c r="C91" s="8"/>
      <c r="D91" s="8"/>
      <c r="E91" s="8"/>
      <c r="F91" s="34"/>
      <c r="G91" s="34"/>
      <c r="H91" s="34"/>
      <c r="I91" s="34"/>
      <c r="J91" s="34"/>
    </row>
    <row r="92">
      <c r="A92" s="7"/>
      <c r="B92" s="8"/>
      <c r="C92" s="8"/>
      <c r="D92" s="8"/>
      <c r="E92" s="8"/>
      <c r="F92" s="34"/>
      <c r="G92" s="34"/>
      <c r="H92" s="34"/>
      <c r="I92" s="34"/>
      <c r="J92" s="34"/>
    </row>
    <row r="93">
      <c r="A93" s="7"/>
      <c r="B93" s="8"/>
      <c r="C93" s="8"/>
      <c r="D93" s="8"/>
      <c r="E93" s="8"/>
      <c r="F93" s="34"/>
      <c r="G93" s="34"/>
      <c r="H93" s="34"/>
      <c r="I93" s="34"/>
      <c r="J93" s="34"/>
    </row>
    <row r="94">
      <c r="A94" s="7"/>
      <c r="B94" s="8"/>
      <c r="C94" s="8"/>
      <c r="D94" s="8"/>
      <c r="E94" s="8"/>
      <c r="F94" s="34"/>
      <c r="G94" s="34"/>
      <c r="H94" s="34"/>
      <c r="I94" s="34"/>
      <c r="J94" s="34"/>
    </row>
    <row r="95">
      <c r="A95" s="7"/>
      <c r="B95" s="8"/>
      <c r="C95" s="8"/>
      <c r="D95" s="8"/>
      <c r="E95" s="8"/>
      <c r="F95" s="34"/>
      <c r="G95" s="34"/>
      <c r="H95" s="34"/>
      <c r="I95" s="34"/>
      <c r="J95" s="34"/>
    </row>
    <row r="96">
      <c r="A96" s="7"/>
      <c r="B96" s="8"/>
      <c r="C96" s="8"/>
      <c r="D96" s="8"/>
      <c r="E96" s="8"/>
      <c r="F96" s="34"/>
      <c r="G96" s="34"/>
      <c r="H96" s="34"/>
      <c r="I96" s="34"/>
      <c r="J96" s="34"/>
    </row>
    <row r="97">
      <c r="A97" s="7"/>
      <c r="B97" s="8"/>
      <c r="C97" s="8"/>
      <c r="D97" s="8"/>
      <c r="E97" s="8"/>
      <c r="F97" s="34"/>
      <c r="G97" s="34"/>
      <c r="H97" s="34"/>
      <c r="I97" s="34"/>
      <c r="J97" s="34"/>
    </row>
    <row r="98">
      <c r="A98" s="7"/>
      <c r="B98" s="8"/>
      <c r="C98" s="8"/>
      <c r="D98" s="8"/>
      <c r="E98" s="8"/>
      <c r="F98" s="34"/>
      <c r="G98" s="34"/>
      <c r="H98" s="34"/>
      <c r="I98" s="34"/>
      <c r="J98" s="34"/>
    </row>
    <row r="99">
      <c r="A99" s="7"/>
      <c r="B99" s="8"/>
      <c r="C99" s="8"/>
      <c r="D99" s="8"/>
      <c r="E99" s="8"/>
      <c r="F99" s="34"/>
      <c r="G99" s="34"/>
      <c r="H99" s="34"/>
      <c r="I99" s="34"/>
      <c r="J99" s="34"/>
    </row>
    <row r="100">
      <c r="A100" s="7"/>
      <c r="B100" s="8"/>
      <c r="C100" s="8"/>
      <c r="D100" s="8"/>
      <c r="E100" s="8"/>
      <c r="F100" s="34"/>
      <c r="G100" s="34"/>
      <c r="H100" s="34"/>
      <c r="I100" s="34"/>
      <c r="J100" s="34"/>
    </row>
    <row r="101">
      <c r="A101" s="7"/>
      <c r="B101" s="8"/>
      <c r="C101" s="8"/>
      <c r="D101" s="8"/>
      <c r="E101" s="8"/>
      <c r="F101" s="34"/>
      <c r="G101" s="34"/>
      <c r="H101" s="34"/>
      <c r="I101" s="34"/>
      <c r="J101" s="34"/>
    </row>
    <row r="102">
      <c r="A102" s="7"/>
      <c r="B102" s="8"/>
      <c r="C102" s="8"/>
      <c r="D102" s="8"/>
      <c r="E102" s="8"/>
      <c r="F102" s="34"/>
      <c r="G102" s="34"/>
      <c r="H102" s="34"/>
      <c r="I102" s="34"/>
      <c r="J102" s="34"/>
    </row>
    <row r="103">
      <c r="A103" s="7"/>
      <c r="B103" s="8"/>
      <c r="C103" s="8"/>
      <c r="D103" s="8"/>
      <c r="E103" s="8"/>
      <c r="F103" s="34"/>
      <c r="G103" s="34"/>
      <c r="H103" s="34"/>
      <c r="I103" s="34"/>
      <c r="J103" s="34"/>
    </row>
    <row r="104">
      <c r="A104" s="7"/>
      <c r="B104" s="8"/>
      <c r="C104" s="8"/>
      <c r="D104" s="8"/>
      <c r="E104" s="8"/>
      <c r="F104" s="34"/>
      <c r="G104" s="34"/>
      <c r="H104" s="34"/>
      <c r="I104" s="34"/>
      <c r="J104" s="34"/>
    </row>
    <row r="105">
      <c r="A105" s="7"/>
      <c r="B105" s="8"/>
      <c r="C105" s="8"/>
      <c r="D105" s="8"/>
      <c r="E105" s="8"/>
      <c r="F105" s="34"/>
      <c r="G105" s="34"/>
      <c r="H105" s="34"/>
      <c r="I105" s="34"/>
      <c r="J105" s="34"/>
    </row>
    <row r="106">
      <c r="A106" s="7"/>
      <c r="B106" s="8"/>
      <c r="C106" s="8"/>
      <c r="D106" s="8"/>
      <c r="E106" s="8"/>
      <c r="F106" s="34"/>
      <c r="G106" s="34"/>
      <c r="H106" s="34"/>
      <c r="I106" s="34"/>
      <c r="J106" s="34"/>
    </row>
    <row r="107">
      <c r="A107" s="7"/>
      <c r="B107" s="8"/>
      <c r="C107" s="8"/>
      <c r="D107" s="8"/>
      <c r="E107" s="8"/>
      <c r="F107" s="34"/>
      <c r="G107" s="34"/>
      <c r="H107" s="34"/>
      <c r="I107" s="34"/>
      <c r="J107" s="34"/>
    </row>
    <row r="108">
      <c r="A108" s="7"/>
      <c r="B108" s="8"/>
      <c r="C108" s="8"/>
      <c r="D108" s="8"/>
      <c r="E108" s="8"/>
      <c r="F108" s="34"/>
      <c r="G108" s="34"/>
      <c r="H108" s="34"/>
      <c r="I108" s="34"/>
      <c r="J108" s="34"/>
    </row>
    <row r="109">
      <c r="A109" s="7"/>
      <c r="B109" s="8"/>
      <c r="C109" s="8"/>
      <c r="D109" s="8"/>
      <c r="E109" s="8"/>
      <c r="F109" s="34"/>
      <c r="G109" s="34"/>
      <c r="H109" s="34"/>
      <c r="I109" s="34"/>
      <c r="J109" s="34"/>
    </row>
    <row r="110">
      <c r="A110" s="7"/>
      <c r="B110" s="8"/>
      <c r="C110" s="8"/>
      <c r="D110" s="8"/>
      <c r="E110" s="8"/>
      <c r="F110" s="34"/>
      <c r="G110" s="34"/>
      <c r="H110" s="34"/>
      <c r="I110" s="34"/>
      <c r="J110" s="34"/>
    </row>
    <row r="111">
      <c r="A111" s="7"/>
      <c r="B111" s="8"/>
      <c r="C111" s="8"/>
      <c r="D111" s="8"/>
      <c r="E111" s="8"/>
      <c r="F111" s="34"/>
      <c r="G111" s="34"/>
      <c r="H111" s="34"/>
      <c r="I111" s="34"/>
      <c r="J111" s="34"/>
    </row>
    <row r="112">
      <c r="A112" s="7"/>
      <c r="B112" s="8"/>
      <c r="C112" s="8"/>
      <c r="D112" s="8"/>
      <c r="E112" s="8"/>
      <c r="F112" s="34"/>
      <c r="G112" s="34"/>
      <c r="H112" s="34"/>
      <c r="I112" s="34"/>
      <c r="J112" s="34"/>
    </row>
    <row r="113">
      <c r="A113" s="7"/>
      <c r="B113" s="8"/>
      <c r="C113" s="8"/>
      <c r="D113" s="8"/>
      <c r="E113" s="8"/>
      <c r="F113" s="34"/>
      <c r="G113" s="34"/>
      <c r="H113" s="34"/>
      <c r="I113" s="34"/>
      <c r="J113" s="34"/>
    </row>
    <row r="114">
      <c r="A114" s="7"/>
      <c r="B114" s="8"/>
      <c r="C114" s="8"/>
      <c r="D114" s="8"/>
      <c r="E114" s="8"/>
      <c r="F114" s="34"/>
      <c r="G114" s="34"/>
      <c r="H114" s="34"/>
      <c r="I114" s="34"/>
      <c r="J114" s="34"/>
    </row>
    <row r="115">
      <c r="A115" s="7"/>
      <c r="B115" s="8"/>
      <c r="C115" s="8"/>
      <c r="D115" s="8"/>
      <c r="E115" s="8"/>
      <c r="F115" s="34"/>
      <c r="G115" s="34"/>
      <c r="H115" s="34"/>
      <c r="I115" s="34"/>
      <c r="J115" s="34"/>
    </row>
    <row r="116">
      <c r="A116" s="7"/>
      <c r="B116" s="8"/>
      <c r="C116" s="8"/>
      <c r="D116" s="8"/>
      <c r="E116" s="8"/>
      <c r="F116" s="34"/>
      <c r="G116" s="34"/>
      <c r="H116" s="34"/>
      <c r="I116" s="34"/>
      <c r="J116" s="34"/>
    </row>
    <row r="117">
      <c r="A117" s="7"/>
      <c r="B117" s="8"/>
      <c r="C117" s="8"/>
      <c r="D117" s="8"/>
      <c r="E117" s="8"/>
      <c r="F117" s="34"/>
      <c r="G117" s="34"/>
      <c r="H117" s="34"/>
      <c r="I117" s="34"/>
      <c r="J117" s="34"/>
    </row>
    <row r="118">
      <c r="A118" s="7"/>
      <c r="B118" s="8"/>
      <c r="C118" s="8"/>
      <c r="D118" s="8"/>
      <c r="E118" s="8"/>
      <c r="F118" s="34"/>
      <c r="G118" s="34"/>
      <c r="H118" s="34"/>
      <c r="I118" s="34"/>
      <c r="J118" s="34"/>
    </row>
    <row r="119">
      <c r="A119" s="7"/>
      <c r="B119" s="8"/>
      <c r="C119" s="8"/>
      <c r="D119" s="8"/>
      <c r="E119" s="8"/>
      <c r="F119" s="34"/>
      <c r="G119" s="34"/>
      <c r="H119" s="34"/>
      <c r="I119" s="34"/>
      <c r="J119" s="34"/>
    </row>
    <row r="120">
      <c r="A120" s="7"/>
      <c r="B120" s="8"/>
      <c r="C120" s="8"/>
      <c r="D120" s="8"/>
      <c r="E120" s="8"/>
      <c r="F120" s="34"/>
      <c r="G120" s="34"/>
      <c r="H120" s="34"/>
      <c r="I120" s="34"/>
      <c r="J120" s="34"/>
    </row>
    <row r="121">
      <c r="A121" s="7"/>
      <c r="B121" s="8"/>
      <c r="C121" s="8"/>
      <c r="D121" s="8"/>
      <c r="E121" s="8"/>
      <c r="F121" s="34"/>
      <c r="G121" s="34"/>
      <c r="H121" s="34"/>
      <c r="I121" s="34"/>
      <c r="J121" s="34"/>
    </row>
    <row r="122">
      <c r="A122" s="7"/>
      <c r="B122" s="8"/>
      <c r="C122" s="8"/>
      <c r="D122" s="8"/>
      <c r="E122" s="8"/>
      <c r="F122" s="34"/>
      <c r="G122" s="34"/>
      <c r="H122" s="34"/>
      <c r="I122" s="34"/>
      <c r="J122" s="34"/>
    </row>
    <row r="123">
      <c r="A123" s="7"/>
      <c r="B123" s="8"/>
      <c r="C123" s="8"/>
      <c r="D123" s="8"/>
      <c r="E123" s="8"/>
      <c r="F123" s="34"/>
      <c r="G123" s="34"/>
      <c r="H123" s="34"/>
      <c r="I123" s="34"/>
      <c r="J123" s="34"/>
    </row>
    <row r="124">
      <c r="A124" s="7"/>
      <c r="B124" s="8"/>
      <c r="C124" s="8"/>
      <c r="D124" s="8"/>
      <c r="E124" s="8"/>
      <c r="F124" s="34"/>
      <c r="G124" s="34"/>
      <c r="H124" s="34"/>
      <c r="I124" s="34"/>
      <c r="J124" s="34"/>
    </row>
    <row r="125">
      <c r="A125" s="7"/>
      <c r="B125" s="8"/>
      <c r="C125" s="8"/>
      <c r="D125" s="8"/>
      <c r="E125" s="8"/>
      <c r="F125" s="34"/>
      <c r="G125" s="34"/>
      <c r="H125" s="34"/>
      <c r="I125" s="34"/>
      <c r="J125" s="34"/>
    </row>
    <row r="126">
      <c r="A126" s="7"/>
      <c r="B126" s="8"/>
      <c r="C126" s="8"/>
      <c r="D126" s="8"/>
      <c r="E126" s="8"/>
      <c r="F126" s="34"/>
      <c r="G126" s="34"/>
      <c r="H126" s="34"/>
      <c r="I126" s="34"/>
      <c r="J126" s="34"/>
    </row>
    <row r="127">
      <c r="A127" s="7"/>
      <c r="B127" s="8"/>
      <c r="C127" s="8"/>
      <c r="D127" s="8"/>
      <c r="E127" s="8"/>
      <c r="F127" s="34"/>
      <c r="G127" s="34"/>
      <c r="H127" s="34"/>
      <c r="I127" s="34"/>
      <c r="J127" s="34"/>
    </row>
    <row r="128">
      <c r="A128" s="7"/>
      <c r="B128" s="8"/>
      <c r="C128" s="8"/>
      <c r="D128" s="8"/>
      <c r="E128" s="8"/>
      <c r="F128" s="34"/>
      <c r="G128" s="34"/>
      <c r="H128" s="34"/>
      <c r="I128" s="34"/>
      <c r="J128" s="34"/>
    </row>
    <row r="129">
      <c r="A129" s="7"/>
      <c r="B129" s="8"/>
      <c r="C129" s="8"/>
      <c r="D129" s="8"/>
      <c r="E129" s="8"/>
      <c r="F129" s="34"/>
      <c r="G129" s="34"/>
      <c r="H129" s="34"/>
      <c r="I129" s="34"/>
      <c r="J129" s="34"/>
    </row>
    <row r="130">
      <c r="A130" s="7"/>
      <c r="B130" s="8"/>
      <c r="C130" s="8"/>
      <c r="D130" s="8"/>
      <c r="E130" s="8"/>
      <c r="F130" s="34"/>
      <c r="G130" s="34"/>
      <c r="H130" s="34"/>
      <c r="I130" s="34"/>
      <c r="J130" s="34"/>
    </row>
    <row r="131">
      <c r="A131" s="7"/>
      <c r="B131" s="8"/>
      <c r="C131" s="8"/>
      <c r="D131" s="8"/>
      <c r="E131" s="8"/>
      <c r="F131" s="34"/>
      <c r="G131" s="34"/>
      <c r="H131" s="34"/>
      <c r="I131" s="34"/>
      <c r="J131" s="34"/>
    </row>
    <row r="132">
      <c r="A132" s="7"/>
      <c r="B132" s="8"/>
      <c r="C132" s="8"/>
      <c r="D132" s="8"/>
      <c r="E132" s="8"/>
      <c r="F132" s="34"/>
      <c r="G132" s="34"/>
      <c r="H132" s="34"/>
      <c r="I132" s="34"/>
      <c r="J132" s="34"/>
    </row>
    <row r="133">
      <c r="A133" s="7"/>
      <c r="B133" s="8"/>
      <c r="C133" s="8"/>
      <c r="D133" s="8"/>
      <c r="E133" s="8"/>
      <c r="F133" s="34"/>
      <c r="G133" s="34"/>
      <c r="H133" s="34"/>
      <c r="I133" s="34"/>
      <c r="J133" s="34"/>
    </row>
    <row r="134">
      <c r="A134" s="7"/>
      <c r="B134" s="8"/>
      <c r="C134" s="8"/>
      <c r="D134" s="8"/>
      <c r="E134" s="8"/>
      <c r="F134" s="34"/>
      <c r="G134" s="34"/>
      <c r="H134" s="34"/>
      <c r="I134" s="34"/>
      <c r="J134" s="34"/>
    </row>
    <row r="135">
      <c r="A135" s="7"/>
      <c r="B135" s="8"/>
      <c r="C135" s="8"/>
      <c r="D135" s="8"/>
      <c r="E135" s="8"/>
      <c r="F135" s="34"/>
      <c r="G135" s="34"/>
      <c r="H135" s="34"/>
      <c r="I135" s="34"/>
      <c r="J135" s="34"/>
    </row>
    <row r="136">
      <c r="A136" s="7"/>
      <c r="B136" s="8"/>
      <c r="C136" s="8"/>
      <c r="D136" s="8"/>
      <c r="E136" s="8"/>
      <c r="F136" s="34"/>
      <c r="G136" s="34"/>
      <c r="H136" s="34"/>
      <c r="I136" s="34"/>
      <c r="J136" s="34"/>
    </row>
    <row r="137">
      <c r="A137" s="7"/>
      <c r="B137" s="8"/>
      <c r="C137" s="8"/>
      <c r="D137" s="8"/>
      <c r="E137" s="8"/>
      <c r="F137" s="34"/>
      <c r="G137" s="34"/>
      <c r="H137" s="34"/>
      <c r="I137" s="34"/>
      <c r="J137" s="34"/>
    </row>
    <row r="138">
      <c r="A138" s="7"/>
      <c r="B138" s="8"/>
      <c r="C138" s="8"/>
      <c r="D138" s="8"/>
      <c r="E138" s="8"/>
      <c r="F138" s="34"/>
      <c r="G138" s="34"/>
      <c r="H138" s="34"/>
      <c r="I138" s="34"/>
      <c r="J138" s="34"/>
    </row>
    <row r="139">
      <c r="A139" s="7"/>
      <c r="B139" s="8"/>
      <c r="C139" s="8"/>
      <c r="D139" s="8"/>
      <c r="E139" s="8"/>
      <c r="F139" s="34"/>
      <c r="G139" s="34"/>
      <c r="H139" s="34"/>
      <c r="I139" s="34"/>
      <c r="J139" s="34"/>
    </row>
    <row r="140">
      <c r="A140" s="7"/>
      <c r="B140" s="8"/>
      <c r="C140" s="8"/>
      <c r="D140" s="8"/>
      <c r="E140" s="8"/>
      <c r="F140" s="34"/>
      <c r="G140" s="34"/>
      <c r="H140" s="34"/>
      <c r="I140" s="34"/>
      <c r="J140" s="34"/>
    </row>
    <row r="141">
      <c r="A141" s="7"/>
      <c r="B141" s="8"/>
      <c r="C141" s="8"/>
      <c r="D141" s="8"/>
      <c r="E141" s="8"/>
      <c r="F141" s="34"/>
      <c r="G141" s="34"/>
      <c r="H141" s="34"/>
      <c r="I141" s="34"/>
      <c r="J141" s="34"/>
    </row>
    <row r="142">
      <c r="A142" s="7"/>
      <c r="B142" s="8"/>
      <c r="C142" s="8"/>
      <c r="D142" s="8"/>
      <c r="E142" s="8"/>
      <c r="F142" s="34"/>
      <c r="G142" s="34"/>
      <c r="H142" s="34"/>
      <c r="I142" s="34"/>
      <c r="J142" s="34"/>
    </row>
    <row r="143">
      <c r="A143" s="7"/>
      <c r="B143" s="8"/>
      <c r="C143" s="8"/>
      <c r="D143" s="8"/>
      <c r="E143" s="8"/>
      <c r="F143" s="34"/>
      <c r="G143" s="34"/>
      <c r="H143" s="34"/>
      <c r="I143" s="34"/>
      <c r="J143" s="34"/>
    </row>
    <row r="144">
      <c r="A144" s="7"/>
      <c r="B144" s="8"/>
      <c r="C144" s="8"/>
      <c r="D144" s="8"/>
      <c r="E144" s="8"/>
      <c r="F144" s="34"/>
      <c r="G144" s="34"/>
      <c r="H144" s="34"/>
      <c r="I144" s="34"/>
      <c r="J144" s="34"/>
    </row>
    <row r="145">
      <c r="A145" s="7"/>
      <c r="B145" s="8"/>
      <c r="C145" s="8"/>
      <c r="D145" s="8"/>
      <c r="E145" s="8"/>
      <c r="F145" s="34"/>
      <c r="G145" s="34"/>
      <c r="H145" s="34"/>
      <c r="I145" s="34"/>
      <c r="J145" s="34"/>
    </row>
    <row r="146">
      <c r="A146" s="7"/>
      <c r="B146" s="8"/>
      <c r="C146" s="8"/>
      <c r="D146" s="8"/>
      <c r="E146" s="8"/>
      <c r="F146" s="34"/>
      <c r="G146" s="34"/>
      <c r="H146" s="34"/>
      <c r="I146" s="34"/>
      <c r="J146" s="34"/>
    </row>
    <row r="147">
      <c r="A147" s="7"/>
      <c r="B147" s="8"/>
      <c r="C147" s="8"/>
      <c r="D147" s="8"/>
      <c r="E147" s="8"/>
      <c r="F147" s="34"/>
      <c r="G147" s="34"/>
      <c r="H147" s="34"/>
      <c r="I147" s="34"/>
      <c r="J147" s="34"/>
    </row>
    <row r="148">
      <c r="A148" s="7"/>
      <c r="B148" s="8"/>
      <c r="C148" s="8"/>
      <c r="D148" s="8"/>
      <c r="E148" s="8"/>
      <c r="F148" s="34"/>
      <c r="G148" s="34"/>
      <c r="H148" s="34"/>
      <c r="I148" s="34"/>
      <c r="J148" s="34"/>
    </row>
    <row r="149">
      <c r="A149" s="7"/>
      <c r="B149" s="8"/>
      <c r="C149" s="8"/>
      <c r="D149" s="8"/>
      <c r="E149" s="8"/>
      <c r="F149" s="34"/>
      <c r="G149" s="34"/>
      <c r="H149" s="34"/>
      <c r="I149" s="34"/>
      <c r="J149" s="34"/>
    </row>
    <row r="150">
      <c r="A150" s="7"/>
      <c r="B150" s="8"/>
      <c r="C150" s="8"/>
      <c r="D150" s="8"/>
      <c r="E150" s="8"/>
      <c r="F150" s="34"/>
      <c r="G150" s="34"/>
      <c r="H150" s="34"/>
      <c r="I150" s="34"/>
      <c r="J150" s="34"/>
    </row>
    <row r="151">
      <c r="A151" s="7"/>
      <c r="B151" s="8"/>
      <c r="C151" s="8"/>
      <c r="D151" s="8"/>
      <c r="E151" s="8"/>
      <c r="F151" s="34"/>
      <c r="G151" s="34"/>
      <c r="H151" s="34"/>
      <c r="I151" s="34"/>
      <c r="J151" s="34"/>
    </row>
    <row r="152">
      <c r="A152" s="7"/>
      <c r="B152" s="8"/>
      <c r="C152" s="8"/>
      <c r="D152" s="8"/>
      <c r="E152" s="8"/>
      <c r="F152" s="34"/>
      <c r="G152" s="34"/>
      <c r="H152" s="34"/>
      <c r="I152" s="34"/>
      <c r="J152" s="34"/>
    </row>
    <row r="153">
      <c r="A153" s="7"/>
      <c r="B153" s="8"/>
      <c r="C153" s="8"/>
      <c r="D153" s="8"/>
      <c r="E153" s="8"/>
      <c r="F153" s="34"/>
      <c r="G153" s="34"/>
      <c r="H153" s="34"/>
      <c r="I153" s="34"/>
      <c r="J153" s="34"/>
    </row>
    <row r="154">
      <c r="A154" s="7"/>
      <c r="B154" s="8"/>
      <c r="C154" s="8"/>
      <c r="D154" s="8"/>
      <c r="E154" s="8"/>
      <c r="F154" s="34"/>
      <c r="G154" s="34"/>
      <c r="H154" s="34"/>
      <c r="I154" s="34"/>
      <c r="J154" s="34"/>
    </row>
    <row r="155">
      <c r="A155" s="7"/>
      <c r="B155" s="8"/>
      <c r="C155" s="8"/>
      <c r="D155" s="8"/>
      <c r="E155" s="8"/>
      <c r="F155" s="34"/>
      <c r="G155" s="34"/>
      <c r="H155" s="34"/>
      <c r="I155" s="34"/>
      <c r="J155" s="34"/>
    </row>
    <row r="156">
      <c r="A156" s="7"/>
      <c r="B156" s="8"/>
      <c r="C156" s="8"/>
      <c r="D156" s="8"/>
      <c r="E156" s="8"/>
      <c r="F156" s="34"/>
      <c r="G156" s="34"/>
      <c r="H156" s="34"/>
      <c r="I156" s="34"/>
      <c r="J156" s="34"/>
    </row>
    <row r="157">
      <c r="A157" s="7"/>
      <c r="B157" s="8"/>
      <c r="C157" s="8"/>
      <c r="D157" s="8"/>
      <c r="E157" s="8"/>
      <c r="F157" s="34"/>
      <c r="G157" s="34"/>
      <c r="H157" s="34"/>
      <c r="I157" s="34"/>
      <c r="J157" s="34"/>
    </row>
    <row r="158">
      <c r="A158" s="7"/>
      <c r="B158" s="8"/>
      <c r="C158" s="8"/>
      <c r="D158" s="8"/>
      <c r="E158" s="8"/>
      <c r="F158" s="34"/>
      <c r="G158" s="34"/>
      <c r="H158" s="34"/>
      <c r="I158" s="34"/>
      <c r="J158" s="34"/>
    </row>
    <row r="159">
      <c r="A159" s="7"/>
      <c r="B159" s="8"/>
      <c r="C159" s="8"/>
      <c r="D159" s="8"/>
      <c r="E159" s="8"/>
      <c r="F159" s="34"/>
      <c r="G159" s="34"/>
      <c r="H159" s="34"/>
      <c r="I159" s="34"/>
      <c r="J159" s="34"/>
    </row>
    <row r="160">
      <c r="A160" s="7"/>
      <c r="B160" s="8"/>
      <c r="C160" s="8"/>
      <c r="D160" s="8"/>
      <c r="E160" s="8"/>
      <c r="F160" s="34"/>
      <c r="G160" s="34"/>
      <c r="H160" s="34"/>
      <c r="I160" s="34"/>
      <c r="J160" s="34"/>
    </row>
    <row r="161">
      <c r="A161" s="7"/>
      <c r="B161" s="8"/>
      <c r="C161" s="8"/>
      <c r="D161" s="8"/>
      <c r="E161" s="8"/>
      <c r="F161" s="34"/>
      <c r="G161" s="34"/>
      <c r="H161" s="34"/>
      <c r="I161" s="34"/>
      <c r="J161" s="34"/>
    </row>
    <row r="162">
      <c r="A162" s="7"/>
      <c r="B162" s="8"/>
      <c r="C162" s="8"/>
      <c r="D162" s="8"/>
      <c r="E162" s="8"/>
      <c r="F162" s="34"/>
      <c r="G162" s="34"/>
      <c r="H162" s="34"/>
      <c r="I162" s="34"/>
      <c r="J162" s="34"/>
    </row>
    <row r="163">
      <c r="A163" s="7"/>
      <c r="B163" s="8"/>
      <c r="C163" s="8"/>
      <c r="D163" s="8"/>
      <c r="E163" s="8"/>
      <c r="F163" s="34"/>
      <c r="G163" s="34"/>
      <c r="H163" s="34"/>
      <c r="I163" s="34"/>
      <c r="J163" s="34"/>
    </row>
    <row r="164">
      <c r="A164" s="7"/>
      <c r="B164" s="8"/>
      <c r="C164" s="8"/>
      <c r="D164" s="8"/>
      <c r="E164" s="8"/>
      <c r="F164" s="34"/>
      <c r="G164" s="34"/>
      <c r="H164" s="34"/>
      <c r="I164" s="34"/>
      <c r="J164" s="34"/>
    </row>
    <row r="165">
      <c r="A165" s="7"/>
      <c r="B165" s="8"/>
      <c r="C165" s="8"/>
      <c r="D165" s="8"/>
      <c r="E165" s="8"/>
      <c r="F165" s="34"/>
      <c r="G165" s="34"/>
      <c r="H165" s="34"/>
      <c r="I165" s="34"/>
      <c r="J165" s="34"/>
    </row>
    <row r="166">
      <c r="A166" s="7"/>
      <c r="B166" s="8"/>
      <c r="C166" s="8"/>
      <c r="D166" s="8"/>
      <c r="E166" s="8"/>
      <c r="F166" s="34"/>
      <c r="G166" s="34"/>
      <c r="H166" s="34"/>
      <c r="I166" s="34"/>
      <c r="J166" s="34"/>
    </row>
    <row r="167">
      <c r="A167" s="7"/>
      <c r="B167" s="8"/>
      <c r="C167" s="8"/>
      <c r="D167" s="8"/>
      <c r="E167" s="8"/>
      <c r="F167" s="34"/>
      <c r="G167" s="34"/>
      <c r="H167" s="34"/>
      <c r="I167" s="34"/>
      <c r="J167" s="34"/>
    </row>
    <row r="168">
      <c r="A168" s="7"/>
      <c r="B168" s="8"/>
      <c r="C168" s="8"/>
      <c r="D168" s="8"/>
      <c r="E168" s="8"/>
      <c r="F168" s="34"/>
      <c r="G168" s="34"/>
      <c r="H168" s="34"/>
      <c r="I168" s="34"/>
      <c r="J168" s="34"/>
    </row>
    <row r="169">
      <c r="A169" s="7"/>
      <c r="B169" s="8"/>
      <c r="C169" s="8"/>
      <c r="D169" s="8"/>
      <c r="E169" s="8"/>
      <c r="F169" s="34"/>
      <c r="G169" s="34"/>
      <c r="H169" s="34"/>
      <c r="I169" s="34"/>
      <c r="J169" s="34"/>
    </row>
    <row r="170">
      <c r="A170" s="7"/>
      <c r="B170" s="8"/>
      <c r="C170" s="8"/>
      <c r="D170" s="8"/>
      <c r="E170" s="8"/>
      <c r="F170" s="34"/>
      <c r="G170" s="34"/>
      <c r="H170" s="34"/>
      <c r="I170" s="34"/>
      <c r="J170" s="34"/>
    </row>
    <row r="171">
      <c r="A171" s="7"/>
      <c r="B171" s="8"/>
      <c r="C171" s="8"/>
      <c r="D171" s="8"/>
      <c r="E171" s="8"/>
      <c r="F171" s="34"/>
      <c r="G171" s="34"/>
      <c r="H171" s="34"/>
      <c r="I171" s="34"/>
      <c r="J171" s="34"/>
    </row>
    <row r="172">
      <c r="A172" s="7"/>
      <c r="B172" s="8"/>
      <c r="C172" s="8"/>
      <c r="D172" s="8"/>
      <c r="E172" s="8"/>
      <c r="F172" s="34"/>
      <c r="G172" s="34"/>
      <c r="H172" s="34"/>
      <c r="I172" s="34"/>
      <c r="J172" s="34"/>
    </row>
    <row r="173">
      <c r="A173" s="7"/>
      <c r="B173" s="8"/>
      <c r="C173" s="8"/>
      <c r="D173" s="8"/>
      <c r="E173" s="8"/>
      <c r="F173" s="34"/>
      <c r="G173" s="34"/>
      <c r="H173" s="34"/>
      <c r="I173" s="34"/>
      <c r="J173" s="34"/>
    </row>
    <row r="174">
      <c r="A174" s="7"/>
      <c r="B174" s="8"/>
      <c r="C174" s="8"/>
      <c r="D174" s="8"/>
      <c r="E174" s="8"/>
      <c r="F174" s="34"/>
      <c r="G174" s="34"/>
      <c r="H174" s="34"/>
      <c r="I174" s="34"/>
      <c r="J174" s="34"/>
    </row>
    <row r="175">
      <c r="A175" s="7"/>
      <c r="B175" s="8"/>
      <c r="C175" s="8"/>
      <c r="D175" s="8"/>
      <c r="E175" s="8"/>
      <c r="F175" s="34"/>
      <c r="G175" s="34"/>
      <c r="H175" s="34"/>
      <c r="I175" s="34"/>
      <c r="J175" s="34"/>
    </row>
    <row r="176">
      <c r="A176" s="7"/>
      <c r="B176" s="8"/>
      <c r="C176" s="8"/>
      <c r="D176" s="8"/>
      <c r="E176" s="8"/>
      <c r="F176" s="34"/>
      <c r="G176" s="34"/>
      <c r="H176" s="34"/>
      <c r="I176" s="34"/>
      <c r="J176" s="34"/>
    </row>
    <row r="177">
      <c r="A177" s="7"/>
      <c r="B177" s="8"/>
      <c r="C177" s="8"/>
      <c r="D177" s="8"/>
      <c r="E177" s="8"/>
      <c r="F177" s="34"/>
      <c r="G177" s="34"/>
      <c r="H177" s="34"/>
      <c r="I177" s="34"/>
      <c r="J177" s="34"/>
    </row>
    <row r="178">
      <c r="A178" s="7"/>
      <c r="B178" s="8"/>
      <c r="C178" s="8"/>
      <c r="D178" s="8"/>
      <c r="E178" s="8"/>
      <c r="F178" s="34"/>
      <c r="G178" s="34"/>
      <c r="H178" s="34"/>
      <c r="I178" s="34"/>
      <c r="J178" s="34"/>
    </row>
    <row r="179">
      <c r="A179" s="7"/>
      <c r="B179" s="8"/>
      <c r="C179" s="8"/>
      <c r="D179" s="8"/>
      <c r="E179" s="8"/>
      <c r="F179" s="34"/>
      <c r="G179" s="34"/>
      <c r="H179" s="34"/>
      <c r="I179" s="34"/>
      <c r="J179" s="34"/>
    </row>
    <row r="180">
      <c r="A180" s="7"/>
      <c r="B180" s="8"/>
      <c r="C180" s="8"/>
      <c r="D180" s="8"/>
      <c r="E180" s="8"/>
      <c r="F180" s="34"/>
      <c r="G180" s="34"/>
      <c r="H180" s="34"/>
      <c r="I180" s="34"/>
      <c r="J180" s="34"/>
    </row>
    <row r="181">
      <c r="A181" s="7"/>
      <c r="B181" s="8"/>
      <c r="C181" s="8"/>
      <c r="D181" s="8"/>
      <c r="E181" s="8"/>
      <c r="F181" s="34"/>
      <c r="G181" s="34"/>
      <c r="H181" s="34"/>
      <c r="I181" s="34"/>
      <c r="J181" s="34"/>
    </row>
    <row r="182">
      <c r="A182" s="7"/>
      <c r="B182" s="8"/>
      <c r="C182" s="8"/>
      <c r="D182" s="8"/>
      <c r="E182" s="8"/>
      <c r="F182" s="34"/>
      <c r="G182" s="34"/>
      <c r="H182" s="34"/>
      <c r="I182" s="34"/>
      <c r="J182" s="34"/>
    </row>
    <row r="183">
      <c r="A183" s="7"/>
      <c r="B183" s="8"/>
      <c r="C183" s="8"/>
      <c r="D183" s="8"/>
      <c r="E183" s="8"/>
      <c r="F183" s="34"/>
      <c r="G183" s="34"/>
      <c r="H183" s="34"/>
      <c r="I183" s="34"/>
      <c r="J183" s="34"/>
    </row>
    <row r="184">
      <c r="A184" s="7"/>
      <c r="B184" s="8"/>
      <c r="C184" s="8"/>
      <c r="D184" s="8"/>
      <c r="E184" s="8"/>
      <c r="F184" s="34"/>
      <c r="G184" s="34"/>
      <c r="H184" s="34"/>
      <c r="I184" s="34"/>
      <c r="J184" s="34"/>
    </row>
    <row r="185">
      <c r="A185" s="7"/>
      <c r="B185" s="8"/>
      <c r="C185" s="8"/>
      <c r="D185" s="8"/>
      <c r="E185" s="8"/>
      <c r="F185" s="34"/>
      <c r="G185" s="34"/>
      <c r="H185" s="34"/>
      <c r="I185" s="34"/>
      <c r="J185" s="34"/>
    </row>
    <row r="186">
      <c r="A186" s="7"/>
      <c r="B186" s="8"/>
      <c r="C186" s="8"/>
      <c r="D186" s="8"/>
      <c r="E186" s="8"/>
      <c r="F186" s="34"/>
      <c r="G186" s="34"/>
      <c r="H186" s="34"/>
      <c r="I186" s="34"/>
      <c r="J186" s="34"/>
    </row>
    <row r="187">
      <c r="A187" s="7"/>
      <c r="B187" s="8"/>
      <c r="C187" s="8"/>
      <c r="D187" s="8"/>
      <c r="E187" s="8"/>
      <c r="F187" s="34"/>
      <c r="G187" s="34"/>
      <c r="H187" s="34"/>
      <c r="I187" s="34"/>
      <c r="J187" s="34"/>
    </row>
    <row r="188">
      <c r="A188" s="7"/>
      <c r="B188" s="8"/>
      <c r="C188" s="8"/>
      <c r="D188" s="8"/>
      <c r="E188" s="8"/>
      <c r="F188" s="34"/>
      <c r="G188" s="34"/>
      <c r="H188" s="34"/>
      <c r="I188" s="34"/>
      <c r="J188" s="34"/>
    </row>
    <row r="189">
      <c r="A189" s="7"/>
      <c r="B189" s="8"/>
      <c r="C189" s="8"/>
      <c r="D189" s="8"/>
      <c r="E189" s="8"/>
      <c r="F189" s="34"/>
      <c r="G189" s="34"/>
      <c r="H189" s="34"/>
      <c r="I189" s="34"/>
      <c r="J189" s="34"/>
    </row>
    <row r="190">
      <c r="A190" s="7"/>
      <c r="B190" s="8"/>
      <c r="C190" s="8"/>
      <c r="D190" s="8"/>
      <c r="E190" s="8"/>
      <c r="F190" s="34"/>
      <c r="G190" s="34"/>
      <c r="H190" s="34"/>
      <c r="I190" s="34"/>
      <c r="J190" s="34"/>
    </row>
    <row r="191">
      <c r="A191" s="7"/>
      <c r="B191" s="8"/>
      <c r="C191" s="8"/>
      <c r="D191" s="8"/>
      <c r="E191" s="8"/>
      <c r="F191" s="34"/>
      <c r="G191" s="34"/>
      <c r="H191" s="34"/>
      <c r="I191" s="34"/>
      <c r="J191" s="34"/>
    </row>
    <row r="192">
      <c r="A192" s="7"/>
      <c r="B192" s="8"/>
      <c r="C192" s="8"/>
      <c r="D192" s="8"/>
      <c r="E192" s="8"/>
      <c r="F192" s="34"/>
      <c r="G192" s="34"/>
      <c r="H192" s="34"/>
      <c r="I192" s="34"/>
      <c r="J192" s="34"/>
    </row>
    <row r="193">
      <c r="A193" s="7"/>
      <c r="B193" s="8"/>
      <c r="C193" s="8"/>
      <c r="D193" s="8"/>
      <c r="E193" s="8"/>
      <c r="F193" s="34"/>
      <c r="G193" s="34"/>
      <c r="H193" s="34"/>
      <c r="I193" s="34"/>
      <c r="J193" s="34"/>
    </row>
    <row r="194">
      <c r="A194" s="7"/>
      <c r="B194" s="8"/>
      <c r="C194" s="8"/>
      <c r="D194" s="8"/>
      <c r="E194" s="8"/>
      <c r="F194" s="34"/>
      <c r="G194" s="34"/>
      <c r="H194" s="34"/>
      <c r="I194" s="34"/>
      <c r="J194" s="34"/>
    </row>
    <row r="195">
      <c r="A195" s="7"/>
      <c r="B195" s="8"/>
      <c r="C195" s="8"/>
      <c r="D195" s="8"/>
      <c r="E195" s="8"/>
      <c r="F195" s="34"/>
      <c r="G195" s="34"/>
      <c r="H195" s="34"/>
      <c r="I195" s="34"/>
      <c r="J195" s="34"/>
    </row>
    <row r="196">
      <c r="A196" s="7"/>
      <c r="B196" s="8"/>
      <c r="C196" s="8"/>
      <c r="D196" s="8"/>
      <c r="E196" s="8"/>
      <c r="F196" s="34"/>
      <c r="G196" s="34"/>
      <c r="H196" s="34"/>
      <c r="I196" s="34"/>
      <c r="J196" s="34"/>
    </row>
    <row r="197">
      <c r="A197" s="7"/>
      <c r="B197" s="8"/>
      <c r="C197" s="8"/>
      <c r="D197" s="8"/>
      <c r="E197" s="8"/>
      <c r="F197" s="34"/>
      <c r="G197" s="34"/>
      <c r="H197" s="34"/>
      <c r="I197" s="34"/>
      <c r="J197" s="34"/>
    </row>
    <row r="198">
      <c r="A198" s="7"/>
      <c r="B198" s="8"/>
      <c r="C198" s="8"/>
      <c r="D198" s="8"/>
      <c r="E198" s="8"/>
      <c r="F198" s="34"/>
      <c r="G198" s="34"/>
      <c r="H198" s="34"/>
      <c r="I198" s="34"/>
      <c r="J198" s="34"/>
    </row>
    <row r="199">
      <c r="A199" s="7"/>
      <c r="B199" s="8"/>
      <c r="C199" s="8"/>
      <c r="D199" s="8"/>
      <c r="E199" s="8"/>
      <c r="F199" s="34"/>
      <c r="G199" s="34"/>
      <c r="H199" s="34"/>
      <c r="I199" s="34"/>
      <c r="J199" s="34"/>
    </row>
    <row r="200">
      <c r="A200" s="7"/>
      <c r="B200" s="8"/>
      <c r="C200" s="8"/>
      <c r="D200" s="8"/>
      <c r="E200" s="8"/>
      <c r="F200" s="34"/>
      <c r="G200" s="34"/>
      <c r="H200" s="34"/>
      <c r="I200" s="34"/>
      <c r="J200" s="34"/>
    </row>
    <row r="201">
      <c r="A201" s="7"/>
      <c r="B201" s="8"/>
      <c r="C201" s="8"/>
      <c r="D201" s="8"/>
      <c r="E201" s="8"/>
      <c r="F201" s="34"/>
      <c r="G201" s="34"/>
      <c r="H201" s="34"/>
      <c r="I201" s="34"/>
      <c r="J201" s="34"/>
    </row>
    <row r="202">
      <c r="A202" s="7"/>
      <c r="B202" s="8"/>
      <c r="C202" s="8"/>
      <c r="D202" s="8"/>
      <c r="E202" s="8"/>
      <c r="F202" s="34"/>
      <c r="G202" s="34"/>
      <c r="H202" s="34"/>
      <c r="I202" s="34"/>
      <c r="J202" s="34"/>
    </row>
    <row r="203">
      <c r="A203" s="7"/>
      <c r="B203" s="8"/>
      <c r="C203" s="8"/>
      <c r="D203" s="8"/>
      <c r="E203" s="8"/>
      <c r="F203" s="34"/>
      <c r="G203" s="34"/>
      <c r="H203" s="34"/>
      <c r="I203" s="34"/>
      <c r="J203" s="34"/>
    </row>
    <row r="204">
      <c r="A204" s="7"/>
      <c r="B204" s="8"/>
      <c r="C204" s="8"/>
      <c r="D204" s="8"/>
      <c r="E204" s="8"/>
      <c r="F204" s="34"/>
      <c r="G204" s="34"/>
      <c r="H204" s="34"/>
      <c r="I204" s="34"/>
      <c r="J204" s="34"/>
    </row>
    <row r="205">
      <c r="A205" s="7"/>
      <c r="B205" s="8"/>
      <c r="C205" s="8"/>
      <c r="D205" s="8"/>
      <c r="E205" s="8"/>
      <c r="F205" s="34"/>
      <c r="G205" s="34"/>
      <c r="H205" s="34"/>
      <c r="I205" s="34"/>
      <c r="J205" s="34"/>
    </row>
    <row r="206">
      <c r="A206" s="7"/>
      <c r="B206" s="8"/>
      <c r="C206" s="8"/>
      <c r="D206" s="8"/>
      <c r="E206" s="8"/>
      <c r="F206" s="34"/>
      <c r="G206" s="34"/>
      <c r="H206" s="34"/>
      <c r="I206" s="34"/>
      <c r="J206" s="34"/>
    </row>
    <row r="207">
      <c r="A207" s="7"/>
      <c r="B207" s="8"/>
      <c r="C207" s="8"/>
      <c r="D207" s="8"/>
      <c r="E207" s="8"/>
      <c r="F207" s="34"/>
      <c r="G207" s="34"/>
      <c r="H207" s="34"/>
      <c r="I207" s="34"/>
      <c r="J207" s="34"/>
    </row>
    <row r="208">
      <c r="A208" s="7"/>
      <c r="B208" s="8"/>
      <c r="C208" s="8"/>
      <c r="D208" s="8"/>
      <c r="E208" s="8"/>
      <c r="F208" s="34"/>
      <c r="G208" s="34"/>
      <c r="H208" s="34"/>
      <c r="I208" s="34"/>
      <c r="J208" s="34"/>
    </row>
    <row r="209">
      <c r="A209" s="7"/>
      <c r="B209" s="8"/>
      <c r="C209" s="8"/>
      <c r="D209" s="8"/>
      <c r="E209" s="8"/>
      <c r="F209" s="34"/>
      <c r="G209" s="34"/>
      <c r="H209" s="34"/>
      <c r="I209" s="34"/>
      <c r="J209" s="34"/>
    </row>
    <row r="210">
      <c r="A210" s="7"/>
      <c r="B210" s="8"/>
      <c r="C210" s="8"/>
      <c r="D210" s="8"/>
      <c r="E210" s="8"/>
      <c r="F210" s="34"/>
      <c r="G210" s="34"/>
      <c r="H210" s="34"/>
      <c r="I210" s="34"/>
      <c r="J210" s="34"/>
    </row>
    <row r="211">
      <c r="A211" s="7"/>
      <c r="B211" s="8"/>
      <c r="C211" s="8"/>
      <c r="D211" s="8"/>
      <c r="E211" s="8"/>
      <c r="F211" s="34"/>
      <c r="G211" s="34"/>
      <c r="H211" s="34"/>
      <c r="I211" s="34"/>
      <c r="J211" s="34"/>
    </row>
    <row r="212">
      <c r="A212" s="7"/>
      <c r="B212" s="8"/>
      <c r="C212" s="8"/>
      <c r="D212" s="8"/>
      <c r="E212" s="8"/>
      <c r="F212" s="34"/>
      <c r="G212" s="34"/>
      <c r="H212" s="34"/>
      <c r="I212" s="34"/>
      <c r="J212" s="34"/>
    </row>
    <row r="213">
      <c r="A213" s="7"/>
      <c r="B213" s="8"/>
      <c r="C213" s="8"/>
      <c r="D213" s="8"/>
      <c r="E213" s="8"/>
      <c r="F213" s="34"/>
      <c r="G213" s="34"/>
      <c r="H213" s="34"/>
      <c r="I213" s="34"/>
      <c r="J213" s="34"/>
    </row>
    <row r="214">
      <c r="A214" s="7"/>
      <c r="B214" s="8"/>
      <c r="C214" s="8"/>
      <c r="D214" s="8"/>
      <c r="E214" s="8"/>
      <c r="F214" s="34"/>
      <c r="G214" s="34"/>
      <c r="H214" s="34"/>
      <c r="I214" s="34"/>
      <c r="J214" s="34"/>
    </row>
    <row r="215">
      <c r="A215" s="7"/>
      <c r="B215" s="8"/>
      <c r="C215" s="8"/>
      <c r="D215" s="8"/>
      <c r="E215" s="8"/>
      <c r="F215" s="34"/>
      <c r="G215" s="34"/>
      <c r="H215" s="34"/>
      <c r="I215" s="34"/>
      <c r="J215" s="34"/>
    </row>
    <row r="216">
      <c r="A216" s="7"/>
      <c r="B216" s="8"/>
      <c r="C216" s="8"/>
      <c r="D216" s="8"/>
      <c r="E216" s="8"/>
      <c r="F216" s="34"/>
      <c r="G216" s="34"/>
      <c r="H216" s="34"/>
      <c r="I216" s="34"/>
      <c r="J216" s="34"/>
    </row>
    <row r="217">
      <c r="A217" s="7"/>
      <c r="B217" s="8"/>
      <c r="C217" s="8"/>
      <c r="D217" s="8"/>
      <c r="E217" s="8"/>
      <c r="F217" s="34"/>
      <c r="G217" s="34"/>
      <c r="H217" s="34"/>
      <c r="I217" s="34"/>
      <c r="J217" s="34"/>
    </row>
    <row r="218">
      <c r="A218" s="7"/>
      <c r="B218" s="8"/>
      <c r="C218" s="8"/>
      <c r="D218" s="8"/>
      <c r="E218" s="8"/>
      <c r="F218" s="34"/>
      <c r="G218" s="34"/>
      <c r="H218" s="34"/>
      <c r="I218" s="34"/>
      <c r="J218" s="34"/>
    </row>
    <row r="219">
      <c r="A219" s="7"/>
      <c r="B219" s="8"/>
      <c r="C219" s="8"/>
      <c r="D219" s="8"/>
      <c r="E219" s="8"/>
      <c r="F219" s="34"/>
      <c r="G219" s="34"/>
      <c r="H219" s="34"/>
      <c r="I219" s="34"/>
      <c r="J219" s="34"/>
    </row>
    <row r="220">
      <c r="A220" s="7"/>
      <c r="B220" s="8"/>
      <c r="C220" s="8"/>
      <c r="D220" s="8"/>
      <c r="E220" s="8"/>
      <c r="F220" s="34"/>
      <c r="G220" s="34"/>
      <c r="H220" s="34"/>
      <c r="I220" s="34"/>
      <c r="J220" s="34"/>
    </row>
    <row r="221">
      <c r="A221" s="7"/>
      <c r="B221" s="8"/>
      <c r="C221" s="8"/>
      <c r="D221" s="8"/>
      <c r="E221" s="8"/>
      <c r="F221" s="34"/>
      <c r="G221" s="34"/>
      <c r="H221" s="34"/>
      <c r="I221" s="34"/>
      <c r="J221" s="34"/>
    </row>
    <row r="222">
      <c r="A222" s="7"/>
      <c r="B222" s="8"/>
      <c r="C222" s="8"/>
      <c r="D222" s="8"/>
      <c r="E222" s="8"/>
      <c r="F222" s="34"/>
      <c r="G222" s="34"/>
      <c r="H222" s="34"/>
      <c r="I222" s="34"/>
      <c r="J222" s="34"/>
    </row>
    <row r="223">
      <c r="A223" s="7"/>
      <c r="B223" s="8"/>
      <c r="C223" s="8"/>
      <c r="D223" s="8"/>
      <c r="E223" s="8"/>
      <c r="F223" s="34"/>
      <c r="G223" s="34"/>
      <c r="H223" s="34"/>
      <c r="I223" s="34"/>
      <c r="J223" s="34"/>
    </row>
    <row r="224">
      <c r="A224" s="7"/>
      <c r="B224" s="8"/>
      <c r="C224" s="8"/>
      <c r="D224" s="8"/>
      <c r="E224" s="8"/>
      <c r="F224" s="34"/>
      <c r="G224" s="34"/>
      <c r="H224" s="34"/>
      <c r="I224" s="34"/>
      <c r="J224" s="34"/>
    </row>
    <row r="225">
      <c r="A225" s="7"/>
      <c r="B225" s="8"/>
      <c r="C225" s="8"/>
      <c r="D225" s="8"/>
      <c r="E225" s="8"/>
      <c r="F225" s="34"/>
      <c r="G225" s="34"/>
      <c r="H225" s="34"/>
      <c r="I225" s="34"/>
      <c r="J225" s="34"/>
    </row>
    <row r="226">
      <c r="A226" s="7"/>
      <c r="B226" s="8"/>
      <c r="C226" s="8"/>
      <c r="D226" s="8"/>
      <c r="E226" s="8"/>
      <c r="F226" s="34"/>
      <c r="G226" s="34"/>
      <c r="H226" s="34"/>
      <c r="I226" s="34"/>
      <c r="J226" s="34"/>
    </row>
    <row r="227">
      <c r="A227" s="7"/>
      <c r="B227" s="8"/>
      <c r="C227" s="8"/>
      <c r="D227" s="8"/>
      <c r="E227" s="8"/>
      <c r="F227" s="34"/>
      <c r="G227" s="34"/>
      <c r="H227" s="34"/>
      <c r="I227" s="34"/>
      <c r="J227" s="34"/>
    </row>
    <row r="228">
      <c r="A228" s="7"/>
      <c r="B228" s="8"/>
      <c r="C228" s="8"/>
      <c r="D228" s="8"/>
      <c r="E228" s="8"/>
      <c r="F228" s="34"/>
      <c r="G228" s="34"/>
      <c r="H228" s="34"/>
      <c r="I228" s="34"/>
      <c r="J228" s="34"/>
    </row>
    <row r="229">
      <c r="A229" s="7"/>
      <c r="B229" s="8"/>
      <c r="C229" s="8"/>
      <c r="D229" s="8"/>
      <c r="E229" s="8"/>
      <c r="F229" s="34"/>
      <c r="G229" s="34"/>
      <c r="H229" s="34"/>
      <c r="I229" s="34"/>
      <c r="J229" s="34"/>
    </row>
    <row r="230">
      <c r="A230" s="7"/>
      <c r="B230" s="8"/>
      <c r="C230" s="8"/>
      <c r="D230" s="8"/>
      <c r="E230" s="8"/>
      <c r="F230" s="34"/>
      <c r="G230" s="34"/>
      <c r="H230" s="34"/>
      <c r="I230" s="34"/>
      <c r="J230" s="34"/>
    </row>
    <row r="231">
      <c r="A231" s="7"/>
      <c r="B231" s="8"/>
      <c r="C231" s="8"/>
      <c r="D231" s="8"/>
      <c r="E231" s="8"/>
      <c r="F231" s="34"/>
      <c r="G231" s="34"/>
      <c r="H231" s="34"/>
      <c r="I231" s="34"/>
      <c r="J231" s="34"/>
    </row>
    <row r="232">
      <c r="A232" s="7"/>
      <c r="B232" s="8"/>
      <c r="C232" s="8"/>
      <c r="D232" s="8"/>
      <c r="E232" s="8"/>
      <c r="F232" s="34"/>
      <c r="G232" s="34"/>
      <c r="H232" s="34"/>
      <c r="I232" s="34"/>
      <c r="J232" s="34"/>
    </row>
    <row r="233">
      <c r="A233" s="7"/>
      <c r="B233" s="8"/>
      <c r="C233" s="8"/>
      <c r="D233" s="8"/>
      <c r="E233" s="8"/>
      <c r="F233" s="34"/>
      <c r="G233" s="34"/>
      <c r="H233" s="34"/>
      <c r="I233" s="34"/>
      <c r="J233" s="34"/>
    </row>
    <row r="234">
      <c r="A234" s="7"/>
      <c r="B234" s="8"/>
      <c r="C234" s="8"/>
      <c r="D234" s="8"/>
      <c r="E234" s="8"/>
      <c r="F234" s="34"/>
      <c r="G234" s="34"/>
      <c r="H234" s="34"/>
      <c r="I234" s="34"/>
      <c r="J234" s="34"/>
    </row>
    <row r="235">
      <c r="A235" s="7"/>
      <c r="B235" s="8"/>
      <c r="C235" s="8"/>
      <c r="D235" s="8"/>
      <c r="E235" s="8"/>
      <c r="F235" s="34"/>
      <c r="G235" s="34"/>
      <c r="H235" s="34"/>
      <c r="I235" s="34"/>
      <c r="J235" s="34"/>
    </row>
    <row r="236">
      <c r="A236" s="7"/>
      <c r="B236" s="8"/>
      <c r="C236" s="8"/>
      <c r="D236" s="8"/>
      <c r="E236" s="8"/>
      <c r="F236" s="34"/>
      <c r="G236" s="34"/>
      <c r="H236" s="34"/>
      <c r="I236" s="34"/>
      <c r="J236" s="34"/>
    </row>
    <row r="237">
      <c r="A237" s="7"/>
      <c r="B237" s="8"/>
      <c r="C237" s="8"/>
      <c r="D237" s="8"/>
      <c r="E237" s="8"/>
      <c r="F237" s="34"/>
      <c r="G237" s="34"/>
      <c r="H237" s="34"/>
      <c r="I237" s="34"/>
      <c r="J237" s="34"/>
    </row>
    <row r="238">
      <c r="A238" s="7"/>
      <c r="B238" s="8"/>
      <c r="C238" s="8"/>
      <c r="D238" s="8"/>
      <c r="E238" s="8"/>
      <c r="F238" s="34"/>
      <c r="G238" s="34"/>
      <c r="H238" s="34"/>
      <c r="I238" s="34"/>
      <c r="J238" s="34"/>
    </row>
    <row r="239">
      <c r="A239" s="7"/>
      <c r="B239" s="8"/>
      <c r="C239" s="8"/>
      <c r="D239" s="8"/>
      <c r="E239" s="8"/>
      <c r="F239" s="34"/>
      <c r="G239" s="34"/>
      <c r="H239" s="34"/>
      <c r="I239" s="34"/>
      <c r="J239" s="34"/>
    </row>
    <row r="240">
      <c r="A240" s="7"/>
      <c r="B240" s="8"/>
      <c r="C240" s="8"/>
      <c r="D240" s="8"/>
      <c r="E240" s="8"/>
      <c r="F240" s="34"/>
      <c r="G240" s="34"/>
      <c r="H240" s="34"/>
      <c r="I240" s="34"/>
      <c r="J240" s="34"/>
    </row>
    <row r="241">
      <c r="A241" s="7"/>
      <c r="B241" s="8"/>
      <c r="C241" s="8"/>
      <c r="D241" s="8"/>
      <c r="E241" s="8"/>
      <c r="F241" s="34"/>
      <c r="G241" s="34"/>
      <c r="H241" s="34"/>
      <c r="I241" s="34"/>
      <c r="J241" s="34"/>
    </row>
    <row r="242">
      <c r="A242" s="7"/>
      <c r="B242" s="8"/>
      <c r="C242" s="8"/>
      <c r="D242" s="8"/>
      <c r="E242" s="8"/>
      <c r="F242" s="34"/>
      <c r="G242" s="34"/>
      <c r="H242" s="34"/>
      <c r="I242" s="34"/>
      <c r="J242" s="34"/>
    </row>
    <row r="243">
      <c r="A243" s="7"/>
      <c r="B243" s="8"/>
      <c r="C243" s="8"/>
      <c r="D243" s="8"/>
      <c r="E243" s="8"/>
      <c r="F243" s="34"/>
      <c r="G243" s="34"/>
      <c r="H243" s="34"/>
      <c r="I243" s="34"/>
      <c r="J243" s="34"/>
    </row>
    <row r="244">
      <c r="A244" s="7"/>
      <c r="B244" s="8"/>
      <c r="C244" s="8"/>
      <c r="D244" s="8"/>
      <c r="E244" s="8"/>
      <c r="F244" s="34"/>
      <c r="G244" s="34"/>
      <c r="H244" s="34"/>
      <c r="I244" s="34"/>
      <c r="J244" s="34"/>
    </row>
    <row r="245">
      <c r="A245" s="7"/>
      <c r="B245" s="8"/>
      <c r="C245" s="8"/>
      <c r="D245" s="8"/>
      <c r="E245" s="8"/>
      <c r="F245" s="34"/>
      <c r="G245" s="34"/>
      <c r="H245" s="34"/>
      <c r="I245" s="34"/>
      <c r="J245" s="34"/>
    </row>
    <row r="246">
      <c r="A246" s="7"/>
      <c r="B246" s="8"/>
      <c r="C246" s="8"/>
      <c r="D246" s="8"/>
      <c r="E246" s="8"/>
      <c r="F246" s="34"/>
      <c r="G246" s="34"/>
      <c r="H246" s="34"/>
      <c r="I246" s="34"/>
      <c r="J246" s="34"/>
    </row>
    <row r="247">
      <c r="A247" s="7"/>
      <c r="B247" s="8"/>
      <c r="C247" s="8"/>
      <c r="D247" s="8"/>
      <c r="E247" s="8"/>
      <c r="F247" s="34"/>
      <c r="G247" s="34"/>
      <c r="H247" s="34"/>
      <c r="I247" s="34"/>
      <c r="J247" s="34"/>
    </row>
    <row r="248">
      <c r="A248" s="7"/>
      <c r="B248" s="8"/>
      <c r="C248" s="8"/>
      <c r="D248" s="8"/>
      <c r="E248" s="8"/>
      <c r="F248" s="34"/>
      <c r="G248" s="34"/>
      <c r="H248" s="34"/>
      <c r="I248" s="34"/>
      <c r="J248" s="34"/>
    </row>
    <row r="249">
      <c r="A249" s="7"/>
      <c r="B249" s="8"/>
      <c r="C249" s="8"/>
      <c r="D249" s="8"/>
      <c r="E249" s="8"/>
      <c r="F249" s="34"/>
      <c r="G249" s="34"/>
      <c r="H249" s="34"/>
      <c r="I249" s="34"/>
      <c r="J249" s="34"/>
    </row>
    <row r="250">
      <c r="A250" s="7"/>
      <c r="B250" s="8"/>
      <c r="C250" s="8"/>
      <c r="D250" s="8"/>
      <c r="E250" s="8"/>
      <c r="F250" s="34"/>
      <c r="G250" s="34"/>
      <c r="H250" s="34"/>
      <c r="I250" s="34"/>
      <c r="J250" s="34"/>
    </row>
    <row r="251">
      <c r="A251" s="7"/>
      <c r="B251" s="8"/>
      <c r="C251" s="8"/>
      <c r="D251" s="8"/>
      <c r="E251" s="8"/>
      <c r="F251" s="34"/>
      <c r="G251" s="34"/>
      <c r="H251" s="34"/>
      <c r="I251" s="34"/>
      <c r="J251" s="34"/>
    </row>
    <row r="252">
      <c r="A252" s="7"/>
      <c r="B252" s="8"/>
      <c r="C252" s="8"/>
      <c r="D252" s="8"/>
      <c r="E252" s="8"/>
      <c r="F252" s="34"/>
      <c r="G252" s="34"/>
      <c r="H252" s="34"/>
      <c r="I252" s="34"/>
      <c r="J252" s="34"/>
    </row>
    <row r="253">
      <c r="A253" s="7"/>
      <c r="B253" s="8"/>
      <c r="C253" s="8"/>
      <c r="D253" s="8"/>
      <c r="E253" s="8"/>
      <c r="F253" s="34"/>
      <c r="G253" s="34"/>
      <c r="H253" s="34"/>
      <c r="I253" s="34"/>
      <c r="J253" s="34"/>
    </row>
    <row r="254">
      <c r="A254" s="7"/>
      <c r="B254" s="8"/>
      <c r="C254" s="8"/>
      <c r="D254" s="8"/>
      <c r="E254" s="8"/>
      <c r="F254" s="34"/>
      <c r="G254" s="34"/>
      <c r="H254" s="34"/>
      <c r="I254" s="34"/>
      <c r="J254" s="34"/>
    </row>
    <row r="255">
      <c r="A255" s="7"/>
      <c r="B255" s="8"/>
      <c r="C255" s="8"/>
      <c r="D255" s="8"/>
      <c r="E255" s="8"/>
      <c r="F255" s="34"/>
      <c r="G255" s="34"/>
      <c r="H255" s="34"/>
      <c r="I255" s="34"/>
      <c r="J255" s="34"/>
    </row>
    <row r="256">
      <c r="A256" s="7"/>
      <c r="B256" s="8"/>
      <c r="C256" s="8"/>
      <c r="D256" s="8"/>
      <c r="E256" s="8"/>
      <c r="F256" s="34"/>
      <c r="G256" s="34"/>
      <c r="H256" s="34"/>
      <c r="I256" s="34"/>
      <c r="J256" s="34"/>
    </row>
    <row r="257">
      <c r="A257" s="7"/>
      <c r="B257" s="8"/>
      <c r="C257" s="8"/>
      <c r="D257" s="8"/>
      <c r="E257" s="8"/>
      <c r="F257" s="34"/>
      <c r="G257" s="34"/>
      <c r="H257" s="34"/>
      <c r="I257" s="34"/>
      <c r="J257" s="34"/>
    </row>
    <row r="258">
      <c r="A258" s="7"/>
      <c r="B258" s="8"/>
      <c r="C258" s="8"/>
      <c r="D258" s="8"/>
      <c r="E258" s="8"/>
      <c r="F258" s="34"/>
      <c r="G258" s="34"/>
      <c r="H258" s="34"/>
      <c r="I258" s="34"/>
      <c r="J258" s="34"/>
    </row>
    <row r="259">
      <c r="A259" s="7"/>
      <c r="B259" s="8"/>
      <c r="C259" s="8"/>
      <c r="D259" s="8"/>
      <c r="E259" s="8"/>
      <c r="F259" s="34"/>
      <c r="G259" s="34"/>
      <c r="H259" s="34"/>
      <c r="I259" s="34"/>
      <c r="J259" s="34"/>
    </row>
    <row r="260">
      <c r="A260" s="7"/>
      <c r="B260" s="8"/>
      <c r="C260" s="8"/>
      <c r="D260" s="8"/>
      <c r="E260" s="8"/>
      <c r="F260" s="34"/>
      <c r="G260" s="34"/>
      <c r="H260" s="34"/>
      <c r="I260" s="34"/>
      <c r="J260" s="34"/>
    </row>
    <row r="261">
      <c r="A261" s="7"/>
      <c r="B261" s="8"/>
      <c r="C261" s="8"/>
      <c r="D261" s="8"/>
      <c r="E261" s="8"/>
      <c r="F261" s="34"/>
      <c r="G261" s="34"/>
      <c r="H261" s="34"/>
      <c r="I261" s="34"/>
      <c r="J261" s="34"/>
    </row>
    <row r="262">
      <c r="A262" s="7"/>
      <c r="B262" s="8"/>
      <c r="C262" s="8"/>
      <c r="D262" s="8"/>
      <c r="E262" s="8"/>
      <c r="F262" s="34"/>
      <c r="G262" s="34"/>
      <c r="H262" s="34"/>
      <c r="I262" s="34"/>
      <c r="J262" s="34"/>
    </row>
    <row r="263">
      <c r="A263" s="7"/>
      <c r="B263" s="8"/>
      <c r="C263" s="8"/>
      <c r="D263" s="8"/>
      <c r="E263" s="8"/>
      <c r="F263" s="34"/>
      <c r="G263" s="34"/>
      <c r="H263" s="34"/>
      <c r="I263" s="34"/>
      <c r="J263" s="34"/>
    </row>
    <row r="264">
      <c r="A264" s="7"/>
      <c r="B264" s="8"/>
      <c r="C264" s="8"/>
      <c r="D264" s="8"/>
      <c r="E264" s="8"/>
      <c r="F264" s="34"/>
      <c r="G264" s="34"/>
      <c r="H264" s="34"/>
      <c r="I264" s="34"/>
      <c r="J264" s="34"/>
    </row>
    <row r="265">
      <c r="A265" s="7"/>
      <c r="B265" s="8"/>
      <c r="C265" s="8"/>
      <c r="D265" s="8"/>
      <c r="E265" s="8"/>
      <c r="F265" s="34"/>
      <c r="G265" s="34"/>
      <c r="H265" s="34"/>
      <c r="I265" s="34"/>
      <c r="J265" s="34"/>
    </row>
    <row r="266">
      <c r="A266" s="7"/>
      <c r="B266" s="8"/>
      <c r="C266" s="8"/>
      <c r="D266" s="8"/>
      <c r="E266" s="8"/>
      <c r="F266" s="34"/>
      <c r="G266" s="34"/>
      <c r="H266" s="34"/>
      <c r="I266" s="34"/>
      <c r="J266" s="34"/>
    </row>
    <row r="267">
      <c r="A267" s="7"/>
      <c r="B267" s="8"/>
      <c r="C267" s="8"/>
      <c r="D267" s="8"/>
      <c r="E267" s="8"/>
      <c r="F267" s="34"/>
      <c r="G267" s="34"/>
      <c r="H267" s="34"/>
      <c r="I267" s="34"/>
      <c r="J267" s="34"/>
    </row>
    <row r="268">
      <c r="A268" s="7"/>
      <c r="B268" s="8"/>
      <c r="C268" s="8"/>
      <c r="D268" s="8"/>
      <c r="E268" s="8"/>
      <c r="F268" s="34"/>
      <c r="G268" s="34"/>
      <c r="H268" s="34"/>
      <c r="I268" s="34"/>
      <c r="J268" s="34"/>
    </row>
    <row r="269">
      <c r="A269" s="7"/>
      <c r="B269" s="8"/>
      <c r="C269" s="8"/>
      <c r="D269" s="8"/>
      <c r="E269" s="8"/>
      <c r="F269" s="34"/>
      <c r="G269" s="34"/>
      <c r="H269" s="34"/>
      <c r="I269" s="34"/>
      <c r="J269" s="34"/>
    </row>
    <row r="270">
      <c r="A270" s="7"/>
      <c r="B270" s="8"/>
      <c r="C270" s="8"/>
      <c r="D270" s="8"/>
      <c r="E270" s="8"/>
      <c r="F270" s="34"/>
      <c r="G270" s="34"/>
      <c r="H270" s="34"/>
      <c r="I270" s="34"/>
      <c r="J270" s="34"/>
    </row>
    <row r="271">
      <c r="A271" s="7"/>
      <c r="B271" s="8"/>
      <c r="C271" s="8"/>
      <c r="D271" s="8"/>
      <c r="E271" s="8"/>
      <c r="F271" s="34"/>
      <c r="G271" s="34"/>
      <c r="H271" s="34"/>
      <c r="I271" s="34"/>
      <c r="J271" s="34"/>
    </row>
    <row r="272">
      <c r="A272" s="7"/>
      <c r="B272" s="8"/>
      <c r="C272" s="8"/>
      <c r="D272" s="8"/>
      <c r="E272" s="8"/>
      <c r="F272" s="34"/>
      <c r="G272" s="34"/>
      <c r="H272" s="34"/>
      <c r="I272" s="34"/>
      <c r="J272" s="34"/>
    </row>
    <row r="273">
      <c r="A273" s="7"/>
      <c r="B273" s="8"/>
      <c r="C273" s="8"/>
      <c r="D273" s="8"/>
      <c r="E273" s="8"/>
      <c r="F273" s="34"/>
      <c r="G273" s="34"/>
      <c r="H273" s="34"/>
      <c r="I273" s="34"/>
      <c r="J273" s="34"/>
    </row>
    <row r="274">
      <c r="A274" s="7"/>
      <c r="B274" s="8"/>
      <c r="C274" s="8"/>
      <c r="D274" s="8"/>
      <c r="E274" s="8"/>
      <c r="F274" s="34"/>
      <c r="G274" s="34"/>
      <c r="H274" s="34"/>
      <c r="I274" s="34"/>
      <c r="J274" s="34"/>
    </row>
    <row r="275">
      <c r="A275" s="7"/>
      <c r="B275" s="8"/>
      <c r="C275" s="8"/>
      <c r="D275" s="8"/>
      <c r="E275" s="8"/>
      <c r="F275" s="34"/>
      <c r="G275" s="34"/>
      <c r="H275" s="34"/>
      <c r="I275" s="34"/>
      <c r="J275" s="34"/>
    </row>
    <row r="276">
      <c r="A276" s="7"/>
      <c r="B276" s="8"/>
      <c r="C276" s="8"/>
      <c r="D276" s="8"/>
      <c r="E276" s="8"/>
      <c r="F276" s="34"/>
      <c r="G276" s="34"/>
      <c r="H276" s="34"/>
      <c r="I276" s="34"/>
      <c r="J276" s="34"/>
    </row>
    <row r="277">
      <c r="A277" s="7"/>
      <c r="B277" s="8"/>
      <c r="C277" s="8"/>
      <c r="D277" s="8"/>
      <c r="E277" s="8"/>
      <c r="F277" s="34"/>
      <c r="G277" s="34"/>
      <c r="H277" s="34"/>
      <c r="I277" s="34"/>
      <c r="J277" s="34"/>
    </row>
    <row r="278">
      <c r="A278" s="7"/>
      <c r="B278" s="8"/>
      <c r="C278" s="8"/>
      <c r="D278" s="8"/>
      <c r="E278" s="8"/>
      <c r="F278" s="34"/>
      <c r="G278" s="34"/>
      <c r="H278" s="34"/>
      <c r="I278" s="34"/>
      <c r="J278" s="34"/>
    </row>
    <row r="279">
      <c r="A279" s="7"/>
      <c r="B279" s="8"/>
      <c r="C279" s="8"/>
      <c r="D279" s="8"/>
      <c r="E279" s="8"/>
      <c r="F279" s="34"/>
      <c r="G279" s="34"/>
      <c r="H279" s="34"/>
      <c r="I279" s="34"/>
      <c r="J279" s="34"/>
    </row>
    <row r="280">
      <c r="A280" s="7"/>
      <c r="B280" s="8"/>
      <c r="C280" s="8"/>
      <c r="D280" s="8"/>
      <c r="E280" s="8"/>
      <c r="F280" s="34"/>
      <c r="G280" s="34"/>
      <c r="H280" s="34"/>
      <c r="I280" s="34"/>
      <c r="J280" s="34"/>
    </row>
    <row r="281">
      <c r="A281" s="7"/>
      <c r="B281" s="8"/>
      <c r="C281" s="8"/>
      <c r="D281" s="8"/>
      <c r="E281" s="8"/>
      <c r="F281" s="34"/>
      <c r="G281" s="34"/>
      <c r="H281" s="34"/>
      <c r="I281" s="34"/>
      <c r="J281" s="34"/>
    </row>
    <row r="282">
      <c r="A282" s="7"/>
      <c r="B282" s="8"/>
      <c r="C282" s="8"/>
      <c r="D282" s="8"/>
      <c r="E282" s="8"/>
      <c r="F282" s="34"/>
      <c r="G282" s="34"/>
      <c r="H282" s="34"/>
      <c r="I282" s="34"/>
      <c r="J282" s="34"/>
    </row>
    <row r="283">
      <c r="A283" s="7"/>
      <c r="B283" s="8"/>
      <c r="C283" s="8"/>
      <c r="D283" s="8"/>
      <c r="E283" s="8"/>
      <c r="F283" s="34"/>
      <c r="G283" s="34"/>
      <c r="H283" s="34"/>
      <c r="I283" s="34"/>
      <c r="J283" s="34"/>
    </row>
    <row r="284">
      <c r="A284" s="7"/>
      <c r="B284" s="8"/>
      <c r="C284" s="8"/>
      <c r="D284" s="8"/>
      <c r="E284" s="8"/>
      <c r="F284" s="34"/>
      <c r="G284" s="34"/>
      <c r="H284" s="34"/>
      <c r="I284" s="34"/>
      <c r="J284" s="34"/>
    </row>
    <row r="285">
      <c r="A285" s="7"/>
      <c r="B285" s="8"/>
      <c r="C285" s="8"/>
      <c r="D285" s="8"/>
      <c r="E285" s="8"/>
      <c r="F285" s="34"/>
      <c r="G285" s="34"/>
      <c r="H285" s="34"/>
      <c r="I285" s="34"/>
      <c r="J285" s="34"/>
    </row>
    <row r="286">
      <c r="A286" s="7"/>
      <c r="B286" s="8"/>
      <c r="C286" s="8"/>
      <c r="D286" s="8"/>
      <c r="E286" s="8"/>
      <c r="F286" s="34"/>
      <c r="G286" s="34"/>
      <c r="H286" s="34"/>
      <c r="I286" s="34"/>
      <c r="J286" s="34"/>
    </row>
    <row r="287">
      <c r="A287" s="7"/>
      <c r="B287" s="8"/>
      <c r="C287" s="8"/>
      <c r="D287" s="8"/>
      <c r="E287" s="8"/>
      <c r="F287" s="34"/>
      <c r="G287" s="34"/>
      <c r="H287" s="34"/>
      <c r="I287" s="34"/>
      <c r="J287" s="34"/>
    </row>
    <row r="288">
      <c r="A288" s="7"/>
      <c r="B288" s="8"/>
      <c r="C288" s="8"/>
      <c r="D288" s="8"/>
      <c r="E288" s="8"/>
      <c r="F288" s="34"/>
      <c r="G288" s="34"/>
      <c r="H288" s="34"/>
      <c r="I288" s="34"/>
      <c r="J288" s="34"/>
    </row>
    <row r="289">
      <c r="A289" s="7"/>
      <c r="B289" s="8"/>
      <c r="C289" s="8"/>
      <c r="D289" s="8"/>
      <c r="E289" s="8"/>
      <c r="F289" s="34"/>
      <c r="G289" s="34"/>
      <c r="H289" s="34"/>
      <c r="I289" s="34"/>
      <c r="J289" s="34"/>
    </row>
    <row r="290">
      <c r="A290" s="7"/>
      <c r="B290" s="8"/>
      <c r="C290" s="8"/>
      <c r="D290" s="8"/>
      <c r="E290" s="8"/>
      <c r="F290" s="34"/>
      <c r="G290" s="34"/>
      <c r="H290" s="34"/>
      <c r="I290" s="34"/>
      <c r="J290" s="34"/>
    </row>
    <row r="291">
      <c r="A291" s="7"/>
      <c r="B291" s="8"/>
      <c r="C291" s="8"/>
      <c r="D291" s="8"/>
      <c r="E291" s="8"/>
      <c r="F291" s="34"/>
      <c r="G291" s="34"/>
      <c r="H291" s="34"/>
      <c r="I291" s="34"/>
      <c r="J291" s="34"/>
    </row>
    <row r="292">
      <c r="A292" s="7"/>
      <c r="B292" s="8"/>
      <c r="C292" s="8"/>
      <c r="D292" s="8"/>
      <c r="E292" s="8"/>
      <c r="F292" s="34"/>
      <c r="G292" s="34"/>
      <c r="H292" s="34"/>
      <c r="I292" s="34"/>
      <c r="J292" s="34"/>
    </row>
    <row r="293">
      <c r="A293" s="7"/>
      <c r="B293" s="8"/>
      <c r="C293" s="8"/>
      <c r="D293" s="8"/>
      <c r="E293" s="8"/>
      <c r="F293" s="34"/>
      <c r="G293" s="34"/>
      <c r="H293" s="34"/>
      <c r="I293" s="34"/>
      <c r="J293" s="34"/>
    </row>
    <row r="294">
      <c r="A294" s="7"/>
      <c r="B294" s="8"/>
      <c r="C294" s="8"/>
      <c r="D294" s="8"/>
      <c r="E294" s="8"/>
      <c r="F294" s="34"/>
      <c r="G294" s="34"/>
      <c r="H294" s="34"/>
      <c r="I294" s="34"/>
      <c r="J294" s="34"/>
    </row>
    <row r="295">
      <c r="A295" s="7"/>
      <c r="B295" s="8"/>
      <c r="C295" s="8"/>
      <c r="D295" s="8"/>
      <c r="E295" s="8"/>
      <c r="F295" s="34"/>
      <c r="G295" s="34"/>
      <c r="H295" s="34"/>
      <c r="I295" s="34"/>
      <c r="J295" s="34"/>
    </row>
    <row r="296">
      <c r="A296" s="7"/>
      <c r="B296" s="8"/>
      <c r="C296" s="8"/>
      <c r="D296" s="8"/>
      <c r="E296" s="8"/>
      <c r="F296" s="34"/>
      <c r="G296" s="34"/>
      <c r="H296" s="34"/>
      <c r="I296" s="34"/>
      <c r="J296" s="34"/>
    </row>
    <row r="297">
      <c r="A297" s="7"/>
      <c r="B297" s="8"/>
      <c r="C297" s="8"/>
      <c r="D297" s="8"/>
      <c r="E297" s="8"/>
      <c r="F297" s="34"/>
      <c r="G297" s="34"/>
      <c r="H297" s="34"/>
      <c r="I297" s="34"/>
      <c r="J297" s="34"/>
    </row>
    <row r="298">
      <c r="A298" s="7"/>
      <c r="B298" s="8"/>
      <c r="C298" s="8"/>
      <c r="D298" s="8"/>
      <c r="E298" s="8"/>
      <c r="F298" s="34"/>
      <c r="G298" s="34"/>
      <c r="H298" s="34"/>
      <c r="I298" s="34"/>
      <c r="J298" s="34"/>
    </row>
    <row r="299">
      <c r="A299" s="7"/>
      <c r="B299" s="8"/>
      <c r="C299" s="8"/>
      <c r="D299" s="8"/>
      <c r="E299" s="8"/>
      <c r="F299" s="34"/>
      <c r="G299" s="34"/>
      <c r="H299" s="34"/>
      <c r="I299" s="34"/>
      <c r="J299" s="34"/>
    </row>
    <row r="300">
      <c r="A300" s="7"/>
      <c r="B300" s="8"/>
      <c r="C300" s="8"/>
      <c r="D300" s="8"/>
      <c r="E300" s="8"/>
      <c r="F300" s="34"/>
      <c r="G300" s="34"/>
      <c r="H300" s="34"/>
      <c r="I300" s="34"/>
      <c r="J300" s="34"/>
    </row>
    <row r="301">
      <c r="A301" s="7"/>
      <c r="B301" s="8"/>
      <c r="C301" s="8"/>
      <c r="D301" s="8"/>
      <c r="E301" s="8"/>
      <c r="F301" s="34"/>
      <c r="G301" s="34"/>
      <c r="H301" s="34"/>
      <c r="I301" s="34"/>
      <c r="J301" s="34"/>
    </row>
    <row r="302">
      <c r="A302" s="7"/>
      <c r="B302" s="8"/>
      <c r="C302" s="8"/>
      <c r="D302" s="8"/>
      <c r="E302" s="8"/>
      <c r="F302" s="34"/>
      <c r="G302" s="34"/>
      <c r="H302" s="34"/>
      <c r="I302" s="34"/>
      <c r="J302" s="34"/>
    </row>
    <row r="303">
      <c r="A303" s="7"/>
      <c r="B303" s="8"/>
      <c r="C303" s="8"/>
      <c r="D303" s="8"/>
      <c r="E303" s="8"/>
      <c r="F303" s="34"/>
      <c r="G303" s="34"/>
      <c r="H303" s="34"/>
      <c r="I303" s="34"/>
      <c r="J303" s="34"/>
    </row>
    <row r="304">
      <c r="A304" s="7"/>
      <c r="B304" s="8"/>
      <c r="C304" s="8"/>
      <c r="D304" s="8"/>
      <c r="E304" s="8"/>
      <c r="F304" s="34"/>
      <c r="G304" s="34"/>
      <c r="H304" s="34"/>
      <c r="I304" s="34"/>
      <c r="J304" s="34"/>
    </row>
    <row r="305">
      <c r="A305" s="7"/>
      <c r="B305" s="8"/>
      <c r="C305" s="8"/>
      <c r="D305" s="8"/>
      <c r="E305" s="8"/>
      <c r="F305" s="34"/>
      <c r="G305" s="34"/>
      <c r="H305" s="34"/>
      <c r="I305" s="34"/>
      <c r="J305" s="34"/>
    </row>
    <row r="306">
      <c r="A306" s="7"/>
      <c r="B306" s="8"/>
      <c r="C306" s="8"/>
      <c r="D306" s="8"/>
      <c r="E306" s="8"/>
      <c r="F306" s="34"/>
      <c r="G306" s="34"/>
      <c r="H306" s="34"/>
      <c r="I306" s="34"/>
      <c r="J306" s="34"/>
    </row>
    <row r="307">
      <c r="A307" s="7"/>
      <c r="B307" s="8"/>
      <c r="C307" s="8"/>
      <c r="D307" s="8"/>
      <c r="E307" s="8"/>
      <c r="F307" s="34"/>
      <c r="G307" s="34"/>
      <c r="H307" s="34"/>
      <c r="I307" s="34"/>
      <c r="J307" s="34"/>
    </row>
    <row r="308">
      <c r="A308" s="7"/>
      <c r="B308" s="8"/>
      <c r="C308" s="8"/>
      <c r="D308" s="8"/>
      <c r="E308" s="8"/>
      <c r="F308" s="34"/>
      <c r="G308" s="34"/>
      <c r="H308" s="34"/>
      <c r="I308" s="34"/>
      <c r="J308" s="34"/>
    </row>
    <row r="309">
      <c r="A309" s="7"/>
      <c r="B309" s="8"/>
      <c r="C309" s="8"/>
      <c r="D309" s="8"/>
      <c r="E309" s="8"/>
      <c r="F309" s="34"/>
      <c r="G309" s="34"/>
      <c r="H309" s="34"/>
      <c r="I309" s="34"/>
      <c r="J309" s="34"/>
    </row>
    <row r="310">
      <c r="A310" s="7"/>
      <c r="B310" s="8"/>
      <c r="C310" s="8"/>
      <c r="D310" s="8"/>
      <c r="E310" s="8"/>
      <c r="F310" s="34"/>
      <c r="G310" s="34"/>
      <c r="H310" s="34"/>
      <c r="I310" s="34"/>
      <c r="J310" s="34"/>
    </row>
    <row r="311">
      <c r="A311" s="7"/>
      <c r="B311" s="8"/>
      <c r="C311" s="8"/>
      <c r="D311" s="8"/>
      <c r="E311" s="8"/>
      <c r="F311" s="34"/>
      <c r="G311" s="34"/>
      <c r="H311" s="34"/>
      <c r="I311" s="34"/>
      <c r="J311" s="34"/>
    </row>
    <row r="312">
      <c r="A312" s="7"/>
      <c r="B312" s="8"/>
      <c r="C312" s="8"/>
      <c r="D312" s="8"/>
      <c r="E312" s="8"/>
      <c r="F312" s="34"/>
      <c r="G312" s="34"/>
      <c r="H312" s="34"/>
      <c r="I312" s="34"/>
      <c r="J312" s="34"/>
    </row>
    <row r="313">
      <c r="A313" s="7"/>
      <c r="B313" s="8"/>
      <c r="C313" s="8"/>
      <c r="D313" s="8"/>
      <c r="E313" s="8"/>
      <c r="F313" s="34"/>
      <c r="G313" s="34"/>
      <c r="H313" s="34"/>
      <c r="I313" s="34"/>
      <c r="J313" s="34"/>
    </row>
    <row r="314">
      <c r="A314" s="7"/>
      <c r="B314" s="8"/>
      <c r="C314" s="8"/>
      <c r="D314" s="8"/>
      <c r="E314" s="8"/>
      <c r="F314" s="34"/>
      <c r="G314" s="34"/>
      <c r="H314" s="34"/>
      <c r="I314" s="34"/>
      <c r="J314" s="34"/>
    </row>
    <row r="315">
      <c r="A315" s="7"/>
      <c r="B315" s="8"/>
      <c r="C315" s="8"/>
      <c r="D315" s="8"/>
      <c r="E315" s="8"/>
      <c r="F315" s="34"/>
      <c r="G315" s="34"/>
      <c r="H315" s="34"/>
      <c r="I315" s="34"/>
      <c r="J315" s="34"/>
    </row>
    <row r="316">
      <c r="A316" s="7"/>
      <c r="B316" s="8"/>
      <c r="C316" s="8"/>
      <c r="D316" s="8"/>
      <c r="E316" s="8"/>
      <c r="F316" s="34"/>
      <c r="G316" s="34"/>
      <c r="H316" s="34"/>
      <c r="I316" s="34"/>
      <c r="J316" s="34"/>
    </row>
    <row r="317">
      <c r="A317" s="7"/>
      <c r="B317" s="8"/>
      <c r="C317" s="8"/>
      <c r="D317" s="8"/>
      <c r="E317" s="8"/>
      <c r="F317" s="34"/>
      <c r="G317" s="34"/>
      <c r="H317" s="34"/>
      <c r="I317" s="34"/>
      <c r="J317" s="34"/>
    </row>
    <row r="318">
      <c r="A318" s="7"/>
      <c r="B318" s="8"/>
      <c r="C318" s="8"/>
      <c r="D318" s="8"/>
      <c r="E318" s="8"/>
      <c r="F318" s="34"/>
      <c r="G318" s="34"/>
      <c r="H318" s="34"/>
      <c r="I318" s="34"/>
      <c r="J318" s="34"/>
    </row>
    <row r="319">
      <c r="A319" s="7"/>
      <c r="B319" s="8"/>
      <c r="C319" s="8"/>
      <c r="D319" s="8"/>
      <c r="E319" s="8"/>
      <c r="F319" s="34"/>
      <c r="G319" s="34"/>
      <c r="H319" s="34"/>
      <c r="I319" s="34"/>
      <c r="J319" s="34"/>
    </row>
    <row r="320">
      <c r="A320" s="7"/>
      <c r="B320" s="8"/>
      <c r="C320" s="8"/>
      <c r="D320" s="8"/>
      <c r="E320" s="8"/>
      <c r="F320" s="34"/>
      <c r="G320" s="34"/>
      <c r="H320" s="34"/>
      <c r="I320" s="34"/>
      <c r="J320" s="34"/>
    </row>
    <row r="321">
      <c r="A321" s="7"/>
      <c r="B321" s="8"/>
      <c r="C321" s="8"/>
      <c r="D321" s="8"/>
      <c r="E321" s="8"/>
      <c r="F321" s="34"/>
      <c r="G321" s="34"/>
      <c r="H321" s="34"/>
      <c r="I321" s="34"/>
      <c r="J321" s="34"/>
    </row>
    <row r="322">
      <c r="A322" s="7"/>
      <c r="B322" s="8"/>
      <c r="C322" s="8"/>
      <c r="D322" s="8"/>
      <c r="E322" s="8"/>
      <c r="F322" s="34"/>
      <c r="G322" s="34"/>
      <c r="H322" s="34"/>
      <c r="I322" s="34"/>
      <c r="J322" s="34"/>
    </row>
    <row r="323">
      <c r="A323" s="7"/>
      <c r="B323" s="8"/>
      <c r="C323" s="8"/>
      <c r="D323" s="8"/>
      <c r="E323" s="8"/>
      <c r="F323" s="34"/>
      <c r="G323" s="34"/>
      <c r="H323" s="34"/>
      <c r="I323" s="34"/>
      <c r="J323" s="34"/>
    </row>
    <row r="324">
      <c r="A324" s="7"/>
      <c r="B324" s="8"/>
      <c r="C324" s="8"/>
      <c r="D324" s="8"/>
      <c r="E324" s="8"/>
      <c r="F324" s="34"/>
      <c r="G324" s="34"/>
      <c r="H324" s="34"/>
      <c r="I324" s="34"/>
      <c r="J324" s="34"/>
    </row>
    <row r="325">
      <c r="A325" s="7"/>
      <c r="B325" s="8"/>
      <c r="C325" s="8"/>
      <c r="D325" s="8"/>
      <c r="E325" s="8"/>
      <c r="F325" s="34"/>
      <c r="G325" s="34"/>
      <c r="H325" s="34"/>
      <c r="I325" s="34"/>
      <c r="J325" s="34"/>
    </row>
    <row r="326">
      <c r="A326" s="7"/>
      <c r="B326" s="8"/>
      <c r="C326" s="8"/>
      <c r="D326" s="8"/>
      <c r="E326" s="8"/>
      <c r="F326" s="34"/>
      <c r="G326" s="34"/>
      <c r="H326" s="34"/>
      <c r="I326" s="34"/>
      <c r="J326" s="34"/>
    </row>
    <row r="327">
      <c r="A327" s="7"/>
      <c r="B327" s="8"/>
      <c r="C327" s="8"/>
      <c r="D327" s="8"/>
      <c r="E327" s="8"/>
      <c r="F327" s="34"/>
      <c r="G327" s="34"/>
      <c r="H327" s="34"/>
      <c r="I327" s="34"/>
      <c r="J327" s="34"/>
    </row>
    <row r="328">
      <c r="A328" s="7"/>
      <c r="B328" s="8"/>
      <c r="C328" s="8"/>
      <c r="D328" s="8"/>
      <c r="E328" s="8"/>
      <c r="F328" s="34"/>
      <c r="G328" s="34"/>
      <c r="H328" s="34"/>
      <c r="I328" s="34"/>
      <c r="J328" s="34"/>
    </row>
    <row r="329">
      <c r="A329" s="7"/>
      <c r="B329" s="8"/>
      <c r="C329" s="8"/>
      <c r="D329" s="8"/>
      <c r="E329" s="8"/>
      <c r="F329" s="34"/>
      <c r="G329" s="34"/>
      <c r="H329" s="34"/>
      <c r="I329" s="34"/>
      <c r="J329" s="34"/>
    </row>
    <row r="330">
      <c r="A330" s="7"/>
      <c r="B330" s="8"/>
      <c r="C330" s="8"/>
      <c r="D330" s="8"/>
      <c r="E330" s="8"/>
      <c r="F330" s="34"/>
      <c r="G330" s="34"/>
      <c r="H330" s="34"/>
      <c r="I330" s="34"/>
      <c r="J330" s="34"/>
    </row>
    <row r="331">
      <c r="A331" s="7"/>
      <c r="B331" s="8"/>
      <c r="C331" s="8"/>
      <c r="D331" s="8"/>
      <c r="E331" s="8"/>
      <c r="F331" s="34"/>
      <c r="G331" s="34"/>
      <c r="H331" s="34"/>
      <c r="I331" s="34"/>
      <c r="J331" s="34"/>
    </row>
    <row r="332">
      <c r="A332" s="7"/>
      <c r="B332" s="8"/>
      <c r="C332" s="8"/>
      <c r="D332" s="8"/>
      <c r="E332" s="8"/>
      <c r="F332" s="34"/>
      <c r="G332" s="34"/>
      <c r="H332" s="34"/>
      <c r="I332" s="34"/>
      <c r="J332" s="34"/>
    </row>
    <row r="333">
      <c r="A333" s="7"/>
      <c r="B333" s="8"/>
      <c r="C333" s="8"/>
      <c r="D333" s="8"/>
      <c r="E333" s="8"/>
      <c r="F333" s="34"/>
      <c r="G333" s="34"/>
      <c r="H333" s="34"/>
      <c r="I333" s="34"/>
      <c r="J333" s="34"/>
    </row>
    <row r="334">
      <c r="A334" s="7"/>
      <c r="B334" s="8"/>
      <c r="C334" s="8"/>
      <c r="D334" s="8"/>
      <c r="E334" s="8"/>
      <c r="F334" s="34"/>
      <c r="G334" s="34"/>
      <c r="H334" s="34"/>
      <c r="I334" s="34"/>
      <c r="J334" s="34"/>
    </row>
    <row r="335">
      <c r="A335" s="7"/>
      <c r="B335" s="8"/>
      <c r="C335" s="8"/>
      <c r="D335" s="8"/>
      <c r="E335" s="8"/>
      <c r="F335" s="34"/>
      <c r="G335" s="34"/>
      <c r="H335" s="34"/>
      <c r="I335" s="34"/>
      <c r="J335" s="34"/>
    </row>
    <row r="336">
      <c r="A336" s="7"/>
      <c r="B336" s="8"/>
      <c r="C336" s="8"/>
      <c r="D336" s="8"/>
      <c r="E336" s="8"/>
      <c r="F336" s="34"/>
      <c r="G336" s="34"/>
      <c r="H336" s="34"/>
      <c r="I336" s="34"/>
      <c r="J336" s="34"/>
    </row>
    <row r="337">
      <c r="A337" s="7"/>
      <c r="B337" s="8"/>
      <c r="C337" s="8"/>
      <c r="D337" s="8"/>
      <c r="E337" s="8"/>
      <c r="F337" s="34"/>
      <c r="G337" s="34"/>
      <c r="H337" s="34"/>
      <c r="I337" s="34"/>
      <c r="J337" s="34"/>
    </row>
    <row r="338">
      <c r="A338" s="7"/>
      <c r="B338" s="8"/>
      <c r="C338" s="8"/>
      <c r="D338" s="8"/>
      <c r="E338" s="8"/>
      <c r="F338" s="34"/>
      <c r="G338" s="34"/>
      <c r="H338" s="34"/>
      <c r="I338" s="34"/>
      <c r="J338" s="34"/>
    </row>
    <row r="339">
      <c r="A339" s="7"/>
      <c r="B339" s="8"/>
      <c r="C339" s="8"/>
      <c r="D339" s="8"/>
      <c r="E339" s="8"/>
      <c r="F339" s="34"/>
      <c r="G339" s="34"/>
      <c r="H339" s="34"/>
      <c r="I339" s="34"/>
      <c r="J339" s="34"/>
    </row>
    <row r="340">
      <c r="A340" s="7"/>
      <c r="B340" s="8"/>
      <c r="C340" s="8"/>
      <c r="D340" s="8"/>
      <c r="E340" s="8"/>
      <c r="F340" s="34"/>
      <c r="G340" s="34"/>
      <c r="H340" s="34"/>
      <c r="I340" s="34"/>
      <c r="J340" s="34"/>
    </row>
    <row r="341">
      <c r="A341" s="7"/>
      <c r="B341" s="8"/>
      <c r="C341" s="8"/>
      <c r="D341" s="8"/>
      <c r="E341" s="8"/>
      <c r="F341" s="34"/>
      <c r="G341" s="34"/>
      <c r="H341" s="34"/>
      <c r="I341" s="34"/>
      <c r="J341" s="34"/>
    </row>
    <row r="342">
      <c r="A342" s="7"/>
      <c r="B342" s="8"/>
      <c r="C342" s="8"/>
      <c r="D342" s="8"/>
      <c r="E342" s="8"/>
      <c r="F342" s="34"/>
      <c r="G342" s="34"/>
      <c r="H342" s="34"/>
      <c r="I342" s="34"/>
      <c r="J342" s="34"/>
    </row>
    <row r="343">
      <c r="A343" s="7"/>
      <c r="B343" s="8"/>
      <c r="C343" s="8"/>
      <c r="D343" s="8"/>
      <c r="E343" s="8"/>
      <c r="F343" s="34"/>
      <c r="G343" s="34"/>
      <c r="H343" s="34"/>
      <c r="I343" s="34"/>
      <c r="J343" s="34"/>
    </row>
    <row r="344">
      <c r="A344" s="7"/>
      <c r="B344" s="8"/>
      <c r="C344" s="8"/>
      <c r="D344" s="8"/>
      <c r="E344" s="8"/>
      <c r="F344" s="34"/>
      <c r="G344" s="34"/>
      <c r="H344" s="34"/>
      <c r="I344" s="34"/>
      <c r="J344" s="34"/>
    </row>
    <row r="345">
      <c r="A345" s="7"/>
      <c r="B345" s="8"/>
      <c r="C345" s="8"/>
      <c r="D345" s="8"/>
      <c r="E345" s="8"/>
      <c r="F345" s="34"/>
      <c r="G345" s="34"/>
      <c r="H345" s="34"/>
      <c r="I345" s="34"/>
      <c r="J345" s="34"/>
    </row>
    <row r="346">
      <c r="A346" s="7"/>
      <c r="B346" s="8"/>
      <c r="C346" s="8"/>
      <c r="D346" s="8"/>
      <c r="E346" s="8"/>
      <c r="F346" s="34"/>
      <c r="G346" s="34"/>
      <c r="H346" s="34"/>
      <c r="I346" s="34"/>
      <c r="J346" s="34"/>
    </row>
    <row r="347">
      <c r="A347" s="7"/>
      <c r="B347" s="8"/>
      <c r="C347" s="8"/>
      <c r="D347" s="8"/>
      <c r="E347" s="8"/>
      <c r="F347" s="34"/>
      <c r="G347" s="34"/>
      <c r="H347" s="34"/>
      <c r="I347" s="34"/>
      <c r="J347" s="34"/>
    </row>
    <row r="348">
      <c r="A348" s="7"/>
      <c r="B348" s="8"/>
      <c r="C348" s="8"/>
      <c r="D348" s="8"/>
      <c r="E348" s="8"/>
      <c r="F348" s="34"/>
      <c r="G348" s="34"/>
      <c r="H348" s="34"/>
      <c r="I348" s="34"/>
      <c r="J348" s="34"/>
    </row>
    <row r="349">
      <c r="A349" s="7"/>
      <c r="B349" s="8"/>
      <c r="C349" s="8"/>
      <c r="D349" s="8"/>
      <c r="E349" s="8"/>
      <c r="F349" s="34"/>
      <c r="G349" s="34"/>
      <c r="H349" s="34"/>
      <c r="I349" s="34"/>
      <c r="J349" s="34"/>
    </row>
    <row r="350">
      <c r="A350" s="7"/>
      <c r="B350" s="8"/>
      <c r="C350" s="8"/>
      <c r="D350" s="8"/>
      <c r="E350" s="8"/>
      <c r="F350" s="34"/>
      <c r="G350" s="34"/>
      <c r="H350" s="34"/>
      <c r="I350" s="34"/>
      <c r="J350" s="34"/>
    </row>
    <row r="351">
      <c r="A351" s="7"/>
      <c r="B351" s="8"/>
      <c r="C351" s="8"/>
      <c r="D351" s="8"/>
      <c r="E351" s="8"/>
      <c r="F351" s="34"/>
      <c r="G351" s="34"/>
      <c r="H351" s="34"/>
      <c r="I351" s="34"/>
      <c r="J351" s="34"/>
    </row>
    <row r="352">
      <c r="A352" s="7"/>
      <c r="B352" s="8"/>
      <c r="C352" s="8"/>
      <c r="D352" s="8"/>
      <c r="E352" s="8"/>
      <c r="F352" s="34"/>
      <c r="G352" s="34"/>
      <c r="H352" s="34"/>
      <c r="I352" s="34"/>
      <c r="J352" s="34"/>
    </row>
    <row r="353">
      <c r="A353" s="7"/>
      <c r="B353" s="8"/>
      <c r="C353" s="8"/>
      <c r="D353" s="8"/>
      <c r="E353" s="8"/>
      <c r="F353" s="34"/>
      <c r="G353" s="34"/>
      <c r="H353" s="34"/>
      <c r="I353" s="34"/>
      <c r="J353" s="34"/>
    </row>
    <row r="354">
      <c r="A354" s="7"/>
      <c r="B354" s="8"/>
      <c r="C354" s="8"/>
      <c r="D354" s="8"/>
      <c r="E354" s="8"/>
      <c r="F354" s="34"/>
      <c r="G354" s="34"/>
      <c r="H354" s="34"/>
      <c r="I354" s="34"/>
      <c r="J354" s="34"/>
    </row>
    <row r="355">
      <c r="A355" s="7"/>
      <c r="B355" s="8"/>
      <c r="C355" s="8"/>
      <c r="D355" s="8"/>
      <c r="E355" s="8"/>
      <c r="F355" s="34"/>
      <c r="G355" s="34"/>
      <c r="H355" s="34"/>
      <c r="I355" s="34"/>
      <c r="J355" s="34"/>
    </row>
    <row r="356">
      <c r="A356" s="7"/>
      <c r="B356" s="8"/>
      <c r="C356" s="8"/>
      <c r="D356" s="8"/>
      <c r="E356" s="8"/>
      <c r="F356" s="34"/>
      <c r="G356" s="34"/>
      <c r="H356" s="34"/>
      <c r="I356" s="34"/>
      <c r="J356" s="34"/>
    </row>
    <row r="357">
      <c r="A357" s="7"/>
      <c r="B357" s="8"/>
      <c r="C357" s="8"/>
      <c r="D357" s="8"/>
      <c r="E357" s="8"/>
      <c r="F357" s="34"/>
      <c r="G357" s="34"/>
      <c r="H357" s="34"/>
      <c r="I357" s="34"/>
      <c r="J357" s="34"/>
    </row>
    <row r="358">
      <c r="A358" s="7"/>
      <c r="B358" s="8"/>
      <c r="C358" s="8"/>
      <c r="D358" s="8"/>
      <c r="E358" s="8"/>
      <c r="F358" s="34"/>
      <c r="G358" s="34"/>
      <c r="H358" s="34"/>
      <c r="I358" s="34"/>
      <c r="J358" s="34"/>
    </row>
    <row r="359">
      <c r="A359" s="7"/>
      <c r="B359" s="8"/>
      <c r="C359" s="8"/>
      <c r="D359" s="8"/>
      <c r="E359" s="8"/>
      <c r="F359" s="34"/>
      <c r="G359" s="34"/>
      <c r="H359" s="34"/>
      <c r="I359" s="34"/>
      <c r="J359" s="34"/>
    </row>
    <row r="360">
      <c r="A360" s="7"/>
      <c r="B360" s="8"/>
      <c r="C360" s="8"/>
      <c r="D360" s="8"/>
      <c r="E360" s="8"/>
      <c r="F360" s="34"/>
      <c r="G360" s="34"/>
      <c r="H360" s="34"/>
      <c r="I360" s="34"/>
      <c r="J360" s="34"/>
    </row>
    <row r="361">
      <c r="A361" s="7"/>
      <c r="B361" s="8"/>
      <c r="C361" s="8"/>
      <c r="D361" s="8"/>
      <c r="E361" s="8"/>
      <c r="F361" s="34"/>
      <c r="G361" s="34"/>
      <c r="H361" s="34"/>
      <c r="I361" s="34"/>
      <c r="J361" s="34"/>
    </row>
    <row r="362">
      <c r="A362" s="7"/>
      <c r="B362" s="8"/>
      <c r="C362" s="8"/>
      <c r="D362" s="8"/>
      <c r="E362" s="8"/>
      <c r="F362" s="34"/>
      <c r="G362" s="34"/>
      <c r="H362" s="34"/>
      <c r="I362" s="34"/>
      <c r="J362" s="34"/>
    </row>
    <row r="363">
      <c r="A363" s="7"/>
      <c r="B363" s="8"/>
      <c r="C363" s="8"/>
      <c r="D363" s="8"/>
      <c r="E363" s="8"/>
      <c r="F363" s="34"/>
      <c r="G363" s="34"/>
      <c r="H363" s="34"/>
      <c r="I363" s="34"/>
      <c r="J363" s="34"/>
    </row>
    <row r="364">
      <c r="A364" s="7"/>
      <c r="B364" s="8"/>
      <c r="C364" s="8"/>
      <c r="D364" s="8"/>
      <c r="E364" s="8"/>
      <c r="F364" s="34"/>
      <c r="G364" s="34"/>
      <c r="H364" s="34"/>
      <c r="I364" s="34"/>
      <c r="J364" s="34"/>
    </row>
    <row r="365">
      <c r="A365" s="7"/>
      <c r="B365" s="8"/>
      <c r="C365" s="8"/>
      <c r="D365" s="8"/>
      <c r="E365" s="8"/>
      <c r="F365" s="34"/>
      <c r="G365" s="34"/>
      <c r="H365" s="34"/>
      <c r="I365" s="34"/>
      <c r="J365" s="34"/>
    </row>
    <row r="366">
      <c r="A366" s="7"/>
      <c r="B366" s="8"/>
      <c r="C366" s="8"/>
      <c r="D366" s="8"/>
      <c r="E366" s="8"/>
      <c r="F366" s="34"/>
      <c r="G366" s="34"/>
      <c r="H366" s="34"/>
      <c r="I366" s="34"/>
      <c r="J366" s="34"/>
    </row>
    <row r="367">
      <c r="A367" s="7"/>
      <c r="B367" s="8"/>
      <c r="C367" s="8"/>
      <c r="D367" s="8"/>
      <c r="E367" s="8"/>
      <c r="F367" s="34"/>
      <c r="G367" s="34"/>
      <c r="H367" s="34"/>
      <c r="I367" s="34"/>
      <c r="J367" s="34"/>
    </row>
    <row r="368">
      <c r="A368" s="7"/>
      <c r="B368" s="8"/>
      <c r="C368" s="8"/>
      <c r="D368" s="8"/>
      <c r="E368" s="8"/>
      <c r="F368" s="34"/>
      <c r="G368" s="34"/>
      <c r="H368" s="34"/>
      <c r="I368" s="34"/>
      <c r="J368" s="34"/>
    </row>
    <row r="369">
      <c r="A369" s="7"/>
      <c r="B369" s="8"/>
      <c r="C369" s="8"/>
      <c r="D369" s="8"/>
      <c r="E369" s="8"/>
      <c r="F369" s="34"/>
      <c r="G369" s="34"/>
      <c r="H369" s="34"/>
      <c r="I369" s="34"/>
      <c r="J369" s="34"/>
    </row>
    <row r="370">
      <c r="A370" s="7"/>
      <c r="B370" s="8"/>
      <c r="C370" s="8"/>
      <c r="D370" s="8"/>
      <c r="E370" s="8"/>
      <c r="F370" s="34"/>
      <c r="G370" s="34"/>
      <c r="H370" s="34"/>
      <c r="I370" s="34"/>
      <c r="J370" s="34"/>
    </row>
    <row r="371">
      <c r="A371" s="7"/>
      <c r="B371" s="8"/>
      <c r="C371" s="8"/>
      <c r="D371" s="8"/>
      <c r="E371" s="8"/>
      <c r="F371" s="34"/>
      <c r="G371" s="34"/>
      <c r="H371" s="34"/>
      <c r="I371" s="34"/>
      <c r="J371" s="34"/>
    </row>
    <row r="372">
      <c r="A372" s="7"/>
      <c r="B372" s="8"/>
      <c r="C372" s="8"/>
      <c r="D372" s="8"/>
      <c r="E372" s="8"/>
      <c r="F372" s="34"/>
      <c r="G372" s="34"/>
      <c r="H372" s="34"/>
      <c r="I372" s="34"/>
      <c r="J372" s="34"/>
    </row>
    <row r="373">
      <c r="A373" s="7"/>
      <c r="B373" s="8"/>
      <c r="C373" s="8"/>
      <c r="D373" s="8"/>
      <c r="E373" s="8"/>
      <c r="F373" s="34"/>
      <c r="G373" s="34"/>
      <c r="H373" s="34"/>
      <c r="I373" s="34"/>
      <c r="J373" s="34"/>
    </row>
    <row r="374">
      <c r="A374" s="7"/>
      <c r="B374" s="8"/>
      <c r="C374" s="8"/>
      <c r="D374" s="8"/>
      <c r="E374" s="8"/>
      <c r="F374" s="34"/>
      <c r="G374" s="34"/>
      <c r="H374" s="34"/>
      <c r="I374" s="34"/>
      <c r="J374" s="34"/>
    </row>
    <row r="375">
      <c r="A375" s="7"/>
      <c r="B375" s="8"/>
      <c r="C375" s="8"/>
      <c r="D375" s="8"/>
      <c r="E375" s="8"/>
      <c r="F375" s="34"/>
      <c r="G375" s="34"/>
      <c r="H375" s="34"/>
      <c r="I375" s="34"/>
      <c r="J375" s="34"/>
    </row>
    <row r="376">
      <c r="A376" s="7"/>
      <c r="B376" s="8"/>
      <c r="C376" s="8"/>
      <c r="D376" s="8"/>
      <c r="E376" s="8"/>
      <c r="F376" s="34"/>
      <c r="G376" s="34"/>
      <c r="H376" s="34"/>
      <c r="I376" s="34"/>
      <c r="J376" s="34"/>
    </row>
    <row r="377">
      <c r="A377" s="7"/>
      <c r="B377" s="8"/>
      <c r="C377" s="8"/>
      <c r="D377" s="8"/>
      <c r="E377" s="8"/>
      <c r="F377" s="34"/>
      <c r="G377" s="34"/>
      <c r="H377" s="34"/>
      <c r="I377" s="34"/>
      <c r="J377" s="34"/>
    </row>
    <row r="378">
      <c r="A378" s="7"/>
      <c r="B378" s="8"/>
      <c r="C378" s="8"/>
      <c r="D378" s="8"/>
      <c r="E378" s="8"/>
      <c r="F378" s="34"/>
      <c r="G378" s="34"/>
      <c r="H378" s="34"/>
      <c r="I378" s="34"/>
      <c r="J378" s="34"/>
    </row>
    <row r="379">
      <c r="A379" s="7"/>
      <c r="B379" s="8"/>
      <c r="C379" s="8"/>
      <c r="D379" s="8"/>
      <c r="E379" s="8"/>
      <c r="F379" s="34"/>
      <c r="G379" s="34"/>
      <c r="H379" s="34"/>
      <c r="I379" s="34"/>
      <c r="J379" s="34"/>
    </row>
    <row r="380">
      <c r="A380" s="7"/>
      <c r="B380" s="8"/>
      <c r="C380" s="8"/>
      <c r="D380" s="8"/>
      <c r="E380" s="8"/>
      <c r="F380" s="34"/>
      <c r="G380" s="34"/>
      <c r="H380" s="34"/>
      <c r="I380" s="34"/>
      <c r="J380" s="34"/>
    </row>
    <row r="381">
      <c r="A381" s="7"/>
      <c r="B381" s="8"/>
      <c r="C381" s="8"/>
      <c r="D381" s="8"/>
      <c r="E381" s="8"/>
      <c r="F381" s="34"/>
      <c r="G381" s="34"/>
      <c r="H381" s="34"/>
      <c r="I381" s="34"/>
      <c r="J381" s="34"/>
    </row>
    <row r="382">
      <c r="A382" s="7"/>
      <c r="B382" s="8"/>
      <c r="C382" s="8"/>
      <c r="D382" s="8"/>
      <c r="E382" s="8"/>
      <c r="F382" s="34"/>
      <c r="G382" s="34"/>
      <c r="H382" s="34"/>
      <c r="I382" s="34"/>
      <c r="J382" s="34"/>
    </row>
    <row r="383">
      <c r="A383" s="7"/>
      <c r="B383" s="8"/>
      <c r="C383" s="8"/>
      <c r="D383" s="8"/>
      <c r="E383" s="8"/>
      <c r="F383" s="34"/>
      <c r="G383" s="34"/>
      <c r="H383" s="34"/>
      <c r="I383" s="34"/>
      <c r="J383" s="34"/>
    </row>
    <row r="384">
      <c r="A384" s="7"/>
      <c r="B384" s="8"/>
      <c r="C384" s="8"/>
      <c r="D384" s="8"/>
      <c r="E384" s="8"/>
      <c r="F384" s="34"/>
      <c r="G384" s="34"/>
      <c r="H384" s="34"/>
      <c r="I384" s="34"/>
      <c r="J384" s="34"/>
    </row>
    <row r="385">
      <c r="A385" s="7"/>
      <c r="B385" s="8"/>
      <c r="C385" s="8"/>
      <c r="D385" s="8"/>
      <c r="E385" s="8"/>
      <c r="F385" s="34"/>
      <c r="G385" s="34"/>
      <c r="H385" s="34"/>
      <c r="I385" s="34"/>
      <c r="J385" s="34"/>
    </row>
    <row r="386">
      <c r="A386" s="7"/>
      <c r="B386" s="8"/>
      <c r="C386" s="8"/>
      <c r="D386" s="8"/>
      <c r="E386" s="8"/>
      <c r="F386" s="34"/>
      <c r="G386" s="34"/>
      <c r="H386" s="34"/>
      <c r="I386" s="34"/>
      <c r="J386" s="34"/>
    </row>
    <row r="387">
      <c r="A387" s="7"/>
      <c r="B387" s="8"/>
      <c r="C387" s="8"/>
      <c r="D387" s="8"/>
      <c r="E387" s="8"/>
      <c r="F387" s="34"/>
      <c r="G387" s="34"/>
      <c r="H387" s="34"/>
      <c r="I387" s="34"/>
      <c r="J387" s="34"/>
    </row>
    <row r="388">
      <c r="A388" s="7"/>
      <c r="B388" s="8"/>
      <c r="C388" s="8"/>
      <c r="D388" s="8"/>
      <c r="E388" s="8"/>
      <c r="F388" s="34"/>
      <c r="G388" s="34"/>
      <c r="H388" s="34"/>
      <c r="I388" s="34"/>
      <c r="J388" s="34"/>
    </row>
    <row r="389">
      <c r="A389" s="7"/>
      <c r="B389" s="8"/>
      <c r="C389" s="8"/>
      <c r="D389" s="8"/>
      <c r="E389" s="8"/>
      <c r="F389" s="34"/>
      <c r="G389" s="34"/>
      <c r="H389" s="34"/>
      <c r="I389" s="34"/>
      <c r="J389" s="34"/>
    </row>
    <row r="390">
      <c r="A390" s="7"/>
      <c r="B390" s="8"/>
      <c r="C390" s="8"/>
      <c r="D390" s="8"/>
      <c r="E390" s="8"/>
      <c r="F390" s="34"/>
      <c r="G390" s="34"/>
      <c r="H390" s="34"/>
      <c r="I390" s="34"/>
      <c r="J390" s="34"/>
    </row>
    <row r="391">
      <c r="A391" s="7"/>
      <c r="B391" s="8"/>
      <c r="C391" s="8"/>
      <c r="D391" s="8"/>
      <c r="E391" s="8"/>
      <c r="F391" s="34"/>
      <c r="G391" s="34"/>
      <c r="H391" s="34"/>
      <c r="I391" s="34"/>
      <c r="J391" s="34"/>
    </row>
    <row r="392">
      <c r="A392" s="7"/>
      <c r="B392" s="8"/>
      <c r="C392" s="8"/>
      <c r="D392" s="8"/>
      <c r="E392" s="8"/>
      <c r="F392" s="34"/>
      <c r="G392" s="34"/>
      <c r="H392" s="34"/>
      <c r="I392" s="34"/>
      <c r="J392" s="34"/>
    </row>
    <row r="393">
      <c r="A393" s="7"/>
      <c r="B393" s="8"/>
      <c r="C393" s="8"/>
      <c r="D393" s="8"/>
      <c r="E393" s="8"/>
      <c r="F393" s="34"/>
      <c r="G393" s="34"/>
      <c r="H393" s="34"/>
      <c r="I393" s="34"/>
      <c r="J393" s="34"/>
    </row>
    <row r="394">
      <c r="A394" s="7"/>
      <c r="B394" s="8"/>
      <c r="C394" s="8"/>
      <c r="D394" s="8"/>
      <c r="E394" s="8"/>
      <c r="F394" s="34"/>
      <c r="G394" s="34"/>
      <c r="H394" s="34"/>
      <c r="I394" s="34"/>
      <c r="J394" s="34"/>
    </row>
    <row r="395">
      <c r="A395" s="7"/>
      <c r="B395" s="8"/>
      <c r="C395" s="8"/>
      <c r="D395" s="8"/>
      <c r="E395" s="8"/>
      <c r="F395" s="34"/>
      <c r="G395" s="34"/>
      <c r="H395" s="34"/>
      <c r="I395" s="34"/>
      <c r="J395" s="34"/>
    </row>
    <row r="396">
      <c r="A396" s="7"/>
      <c r="B396" s="8"/>
      <c r="C396" s="8"/>
      <c r="D396" s="8"/>
      <c r="E396" s="8"/>
      <c r="F396" s="34"/>
      <c r="G396" s="34"/>
      <c r="H396" s="34"/>
      <c r="I396" s="34"/>
      <c r="J396" s="34"/>
    </row>
    <row r="397">
      <c r="A397" s="7"/>
      <c r="B397" s="8"/>
      <c r="C397" s="8"/>
      <c r="D397" s="8"/>
      <c r="E397" s="8"/>
      <c r="F397" s="34"/>
      <c r="G397" s="34"/>
      <c r="H397" s="34"/>
      <c r="I397" s="34"/>
      <c r="J397" s="34"/>
    </row>
    <row r="398">
      <c r="A398" s="7"/>
      <c r="B398" s="8"/>
      <c r="C398" s="8"/>
      <c r="D398" s="8"/>
      <c r="E398" s="8"/>
      <c r="F398" s="34"/>
      <c r="G398" s="34"/>
      <c r="H398" s="34"/>
      <c r="I398" s="34"/>
      <c r="J398" s="34"/>
    </row>
    <row r="399">
      <c r="A399" s="7"/>
      <c r="B399" s="8"/>
      <c r="C399" s="8"/>
      <c r="D399" s="8"/>
      <c r="E399" s="8"/>
      <c r="F399" s="34"/>
      <c r="G399" s="34"/>
      <c r="H399" s="34"/>
      <c r="I399" s="34"/>
      <c r="J399" s="34"/>
    </row>
    <row r="400">
      <c r="A400" s="7"/>
      <c r="B400" s="8"/>
      <c r="C400" s="8"/>
      <c r="D400" s="8"/>
      <c r="E400" s="8"/>
      <c r="F400" s="34"/>
      <c r="G400" s="34"/>
      <c r="H400" s="34"/>
      <c r="I400" s="34"/>
      <c r="J400" s="34"/>
    </row>
    <row r="401">
      <c r="A401" s="7"/>
      <c r="B401" s="8"/>
      <c r="C401" s="8"/>
      <c r="D401" s="8"/>
      <c r="E401" s="8"/>
      <c r="F401" s="34"/>
      <c r="G401" s="34"/>
      <c r="H401" s="34"/>
      <c r="I401" s="34"/>
      <c r="J401" s="34"/>
    </row>
    <row r="402">
      <c r="A402" s="7"/>
      <c r="B402" s="8"/>
      <c r="C402" s="8"/>
      <c r="D402" s="8"/>
      <c r="E402" s="8"/>
      <c r="F402" s="34"/>
      <c r="G402" s="34"/>
      <c r="H402" s="34"/>
      <c r="I402" s="34"/>
      <c r="J402" s="34"/>
    </row>
    <row r="403">
      <c r="A403" s="7"/>
      <c r="B403" s="8"/>
      <c r="C403" s="8"/>
      <c r="D403" s="8"/>
      <c r="E403" s="8"/>
      <c r="F403" s="34"/>
      <c r="G403" s="34"/>
      <c r="H403" s="34"/>
      <c r="I403" s="34"/>
      <c r="J403" s="34"/>
    </row>
    <row r="404">
      <c r="A404" s="7"/>
      <c r="B404" s="8"/>
      <c r="C404" s="8"/>
      <c r="D404" s="8"/>
      <c r="E404" s="8"/>
      <c r="F404" s="34"/>
      <c r="G404" s="34"/>
      <c r="H404" s="34"/>
      <c r="I404" s="34"/>
      <c r="J404" s="34"/>
    </row>
    <row r="405">
      <c r="A405" s="7"/>
      <c r="B405" s="8"/>
      <c r="C405" s="8"/>
      <c r="D405" s="8"/>
      <c r="E405" s="8"/>
      <c r="F405" s="34"/>
      <c r="G405" s="34"/>
      <c r="H405" s="34"/>
      <c r="I405" s="34"/>
      <c r="J405" s="34"/>
    </row>
    <row r="406">
      <c r="A406" s="7"/>
      <c r="B406" s="8"/>
      <c r="C406" s="8"/>
      <c r="D406" s="8"/>
      <c r="E406" s="8"/>
      <c r="F406" s="34"/>
      <c r="G406" s="34"/>
      <c r="H406" s="34"/>
      <c r="I406" s="34"/>
      <c r="J406" s="34"/>
    </row>
    <row r="407">
      <c r="A407" s="7"/>
      <c r="B407" s="8"/>
      <c r="C407" s="8"/>
      <c r="D407" s="8"/>
      <c r="E407" s="8"/>
      <c r="F407" s="34"/>
      <c r="G407" s="34"/>
      <c r="H407" s="34"/>
      <c r="I407" s="34"/>
      <c r="J407" s="34"/>
    </row>
    <row r="408">
      <c r="A408" s="7"/>
      <c r="B408" s="8"/>
      <c r="C408" s="8"/>
      <c r="D408" s="8"/>
      <c r="E408" s="8"/>
      <c r="F408" s="34"/>
      <c r="G408" s="34"/>
      <c r="H408" s="34"/>
      <c r="I408" s="34"/>
      <c r="J408" s="34"/>
    </row>
    <row r="409">
      <c r="A409" s="7"/>
      <c r="B409" s="8"/>
      <c r="C409" s="8"/>
      <c r="D409" s="8"/>
      <c r="E409" s="8"/>
      <c r="F409" s="34"/>
      <c r="G409" s="34"/>
      <c r="H409" s="34"/>
      <c r="I409" s="34"/>
      <c r="J409" s="34"/>
    </row>
    <row r="410">
      <c r="A410" s="7"/>
      <c r="B410" s="8"/>
      <c r="C410" s="8"/>
      <c r="D410" s="8"/>
      <c r="E410" s="8"/>
      <c r="F410" s="34"/>
      <c r="G410" s="34"/>
      <c r="H410" s="34"/>
      <c r="I410" s="34"/>
      <c r="J410" s="34"/>
    </row>
    <row r="411">
      <c r="A411" s="7"/>
      <c r="B411" s="8"/>
      <c r="C411" s="8"/>
      <c r="D411" s="8"/>
      <c r="E411" s="8"/>
      <c r="F411" s="34"/>
      <c r="G411" s="34"/>
      <c r="H411" s="34"/>
      <c r="I411" s="34"/>
      <c r="J411" s="34"/>
    </row>
    <row r="412">
      <c r="A412" s="7"/>
      <c r="B412" s="8"/>
      <c r="C412" s="8"/>
      <c r="D412" s="8"/>
      <c r="E412" s="8"/>
      <c r="F412" s="34"/>
      <c r="G412" s="34"/>
      <c r="H412" s="34"/>
      <c r="I412" s="34"/>
      <c r="J412" s="34"/>
    </row>
    <row r="413">
      <c r="A413" s="7"/>
      <c r="B413" s="8"/>
      <c r="C413" s="8"/>
      <c r="D413" s="8"/>
      <c r="E413" s="8"/>
      <c r="F413" s="34"/>
      <c r="G413" s="34"/>
      <c r="H413" s="34"/>
      <c r="I413" s="34"/>
      <c r="J413" s="34"/>
    </row>
    <row r="414">
      <c r="A414" s="7"/>
      <c r="B414" s="8"/>
      <c r="C414" s="8"/>
      <c r="D414" s="8"/>
      <c r="E414" s="8"/>
      <c r="F414" s="34"/>
      <c r="G414" s="34"/>
      <c r="H414" s="34"/>
      <c r="I414" s="34"/>
      <c r="J414" s="34"/>
    </row>
    <row r="415">
      <c r="A415" s="7"/>
      <c r="B415" s="8"/>
      <c r="C415" s="8"/>
      <c r="D415" s="8"/>
      <c r="E415" s="8"/>
      <c r="F415" s="34"/>
      <c r="G415" s="34"/>
      <c r="H415" s="34"/>
      <c r="I415" s="34"/>
      <c r="J415" s="34"/>
    </row>
    <row r="416">
      <c r="A416" s="7"/>
      <c r="B416" s="8"/>
      <c r="C416" s="8"/>
      <c r="D416" s="8"/>
      <c r="E416" s="8"/>
      <c r="F416" s="34"/>
      <c r="G416" s="34"/>
      <c r="H416" s="34"/>
      <c r="I416" s="34"/>
      <c r="J416" s="34"/>
    </row>
    <row r="417">
      <c r="A417" s="7"/>
      <c r="B417" s="8"/>
      <c r="C417" s="8"/>
      <c r="D417" s="8"/>
      <c r="E417" s="8"/>
      <c r="F417" s="34"/>
      <c r="G417" s="34"/>
      <c r="H417" s="34"/>
      <c r="I417" s="34"/>
      <c r="J417" s="34"/>
    </row>
    <row r="418">
      <c r="A418" s="7"/>
      <c r="B418" s="8"/>
      <c r="C418" s="8"/>
      <c r="D418" s="8"/>
      <c r="E418" s="8"/>
      <c r="F418" s="34"/>
      <c r="G418" s="34"/>
      <c r="H418" s="34"/>
      <c r="I418" s="34"/>
      <c r="J418" s="34"/>
    </row>
    <row r="419">
      <c r="A419" s="7"/>
      <c r="B419" s="8"/>
      <c r="C419" s="8"/>
      <c r="D419" s="8"/>
      <c r="E419" s="8"/>
      <c r="F419" s="34"/>
      <c r="G419" s="34"/>
      <c r="H419" s="34"/>
      <c r="I419" s="34"/>
      <c r="J419" s="34"/>
    </row>
    <row r="420">
      <c r="A420" s="7"/>
      <c r="B420" s="8"/>
      <c r="C420" s="8"/>
      <c r="D420" s="8"/>
      <c r="E420" s="8"/>
      <c r="F420" s="34"/>
      <c r="G420" s="34"/>
      <c r="H420" s="34"/>
      <c r="I420" s="34"/>
      <c r="J420" s="34"/>
    </row>
    <row r="421">
      <c r="A421" s="7"/>
      <c r="B421" s="8"/>
      <c r="C421" s="8"/>
      <c r="D421" s="8"/>
      <c r="E421" s="8"/>
      <c r="F421" s="34"/>
      <c r="G421" s="34"/>
      <c r="H421" s="34"/>
      <c r="I421" s="34"/>
      <c r="J421" s="34"/>
    </row>
    <row r="422">
      <c r="A422" s="7"/>
      <c r="B422" s="8"/>
      <c r="C422" s="8"/>
      <c r="D422" s="8"/>
      <c r="E422" s="8"/>
      <c r="F422" s="34"/>
      <c r="G422" s="34"/>
      <c r="H422" s="34"/>
      <c r="I422" s="34"/>
      <c r="J422" s="34"/>
    </row>
    <row r="423">
      <c r="A423" s="7"/>
      <c r="B423" s="8"/>
      <c r="C423" s="8"/>
      <c r="D423" s="8"/>
      <c r="E423" s="8"/>
      <c r="F423" s="34"/>
      <c r="G423" s="34"/>
      <c r="H423" s="34"/>
      <c r="I423" s="34"/>
      <c r="J423" s="34"/>
    </row>
    <row r="424">
      <c r="A424" s="7"/>
      <c r="B424" s="8"/>
      <c r="C424" s="8"/>
      <c r="D424" s="8"/>
      <c r="E424" s="8"/>
      <c r="F424" s="34"/>
      <c r="G424" s="34"/>
      <c r="H424" s="34"/>
      <c r="I424" s="34"/>
      <c r="J424" s="34"/>
    </row>
    <row r="425">
      <c r="A425" s="7"/>
      <c r="B425" s="8"/>
      <c r="C425" s="8"/>
      <c r="D425" s="8"/>
      <c r="E425" s="8"/>
      <c r="F425" s="34"/>
      <c r="G425" s="34"/>
      <c r="H425" s="34"/>
      <c r="I425" s="34"/>
      <c r="J425" s="34"/>
    </row>
    <row r="426">
      <c r="A426" s="7"/>
      <c r="B426" s="8"/>
      <c r="C426" s="8"/>
      <c r="D426" s="8"/>
      <c r="E426" s="8"/>
      <c r="F426" s="34"/>
      <c r="G426" s="34"/>
      <c r="H426" s="34"/>
      <c r="I426" s="34"/>
      <c r="J426" s="34"/>
    </row>
    <row r="427">
      <c r="A427" s="7"/>
      <c r="B427" s="8"/>
      <c r="C427" s="8"/>
      <c r="D427" s="8"/>
      <c r="E427" s="8"/>
      <c r="F427" s="34"/>
      <c r="G427" s="34"/>
      <c r="H427" s="34"/>
      <c r="I427" s="34"/>
      <c r="J427" s="34"/>
    </row>
    <row r="428">
      <c r="A428" s="7"/>
      <c r="B428" s="8"/>
      <c r="C428" s="8"/>
      <c r="D428" s="8"/>
      <c r="E428" s="8"/>
      <c r="F428" s="34"/>
      <c r="G428" s="34"/>
      <c r="H428" s="34"/>
      <c r="I428" s="34"/>
      <c r="J428" s="34"/>
    </row>
    <row r="429">
      <c r="A429" s="7"/>
      <c r="B429" s="8"/>
      <c r="C429" s="8"/>
      <c r="D429" s="8"/>
      <c r="E429" s="8"/>
      <c r="F429" s="34"/>
      <c r="G429" s="34"/>
      <c r="H429" s="34"/>
      <c r="I429" s="34"/>
      <c r="J429" s="34"/>
    </row>
    <row r="430">
      <c r="A430" s="7"/>
      <c r="B430" s="8"/>
      <c r="C430" s="8"/>
      <c r="D430" s="8"/>
      <c r="E430" s="8"/>
      <c r="F430" s="34"/>
      <c r="G430" s="34"/>
      <c r="H430" s="34"/>
      <c r="I430" s="34"/>
      <c r="J430" s="34"/>
    </row>
    <row r="431">
      <c r="A431" s="7"/>
      <c r="B431" s="8"/>
      <c r="C431" s="8"/>
      <c r="D431" s="8"/>
      <c r="E431" s="8"/>
      <c r="F431" s="34"/>
      <c r="G431" s="34"/>
      <c r="H431" s="34"/>
      <c r="I431" s="34"/>
      <c r="J431" s="34"/>
    </row>
    <row r="432">
      <c r="A432" s="7"/>
      <c r="B432" s="8"/>
      <c r="C432" s="8"/>
      <c r="D432" s="8"/>
      <c r="E432" s="8"/>
      <c r="F432" s="34"/>
      <c r="G432" s="34"/>
      <c r="H432" s="34"/>
      <c r="I432" s="34"/>
      <c r="J432" s="34"/>
    </row>
    <row r="433">
      <c r="A433" s="7"/>
      <c r="B433" s="8"/>
      <c r="C433" s="8"/>
      <c r="D433" s="8"/>
      <c r="E433" s="8"/>
      <c r="F433" s="34"/>
      <c r="G433" s="34"/>
      <c r="H433" s="34"/>
      <c r="I433" s="34"/>
      <c r="J433" s="34"/>
    </row>
    <row r="434">
      <c r="A434" s="7"/>
      <c r="B434" s="8"/>
      <c r="C434" s="8"/>
      <c r="D434" s="8"/>
      <c r="E434" s="8"/>
      <c r="F434" s="34"/>
      <c r="G434" s="34"/>
      <c r="H434" s="34"/>
      <c r="I434" s="34"/>
      <c r="J434" s="34"/>
    </row>
    <row r="435">
      <c r="A435" s="7"/>
      <c r="B435" s="8"/>
      <c r="C435" s="8"/>
      <c r="D435" s="8"/>
      <c r="E435" s="8"/>
      <c r="F435" s="34"/>
      <c r="G435" s="34"/>
      <c r="H435" s="34"/>
      <c r="I435" s="34"/>
      <c r="J435" s="34"/>
    </row>
    <row r="436">
      <c r="A436" s="7"/>
      <c r="B436" s="8"/>
      <c r="C436" s="8"/>
      <c r="D436" s="8"/>
      <c r="E436" s="8"/>
      <c r="F436" s="34"/>
      <c r="G436" s="34"/>
      <c r="H436" s="34"/>
      <c r="I436" s="34"/>
      <c r="J436" s="34"/>
    </row>
    <row r="437">
      <c r="A437" s="7"/>
      <c r="B437" s="8"/>
      <c r="C437" s="8"/>
      <c r="D437" s="8"/>
      <c r="E437" s="8"/>
      <c r="F437" s="34"/>
      <c r="G437" s="34"/>
      <c r="H437" s="34"/>
      <c r="I437" s="34"/>
      <c r="J437" s="34"/>
    </row>
    <row r="438">
      <c r="A438" s="7"/>
      <c r="B438" s="8"/>
      <c r="C438" s="8"/>
      <c r="D438" s="8"/>
      <c r="E438" s="8"/>
      <c r="F438" s="34"/>
      <c r="G438" s="34"/>
      <c r="H438" s="34"/>
      <c r="I438" s="34"/>
      <c r="J438" s="34"/>
    </row>
    <row r="439">
      <c r="A439" s="7"/>
      <c r="B439" s="8"/>
      <c r="C439" s="8"/>
      <c r="D439" s="8"/>
      <c r="E439" s="8"/>
      <c r="F439" s="34"/>
      <c r="G439" s="34"/>
      <c r="H439" s="34"/>
      <c r="I439" s="34"/>
      <c r="J439" s="34"/>
    </row>
    <row r="440">
      <c r="A440" s="7"/>
      <c r="B440" s="8"/>
      <c r="C440" s="8"/>
      <c r="D440" s="8"/>
      <c r="E440" s="8"/>
      <c r="F440" s="34"/>
      <c r="G440" s="34"/>
      <c r="H440" s="34"/>
      <c r="I440" s="34"/>
      <c r="J440" s="34"/>
    </row>
    <row r="441">
      <c r="A441" s="7"/>
      <c r="B441" s="8"/>
      <c r="C441" s="8"/>
      <c r="D441" s="8"/>
      <c r="E441" s="8"/>
      <c r="F441" s="34"/>
      <c r="G441" s="34"/>
      <c r="H441" s="34"/>
      <c r="I441" s="34"/>
      <c r="J441" s="34"/>
    </row>
    <row r="442">
      <c r="A442" s="7"/>
      <c r="B442" s="8"/>
      <c r="C442" s="8"/>
      <c r="D442" s="8"/>
      <c r="E442" s="8"/>
      <c r="F442" s="34"/>
      <c r="G442" s="34"/>
      <c r="H442" s="34"/>
      <c r="I442" s="34"/>
      <c r="J442" s="34"/>
    </row>
    <row r="443">
      <c r="A443" s="7"/>
      <c r="B443" s="8"/>
      <c r="C443" s="8"/>
      <c r="D443" s="8"/>
      <c r="E443" s="8"/>
      <c r="F443" s="34"/>
      <c r="G443" s="34"/>
      <c r="H443" s="34"/>
      <c r="I443" s="34"/>
      <c r="J443" s="34"/>
    </row>
    <row r="444">
      <c r="A444" s="7"/>
      <c r="B444" s="8"/>
      <c r="C444" s="8"/>
      <c r="D444" s="8"/>
      <c r="E444" s="8"/>
      <c r="F444" s="34"/>
      <c r="G444" s="34"/>
      <c r="H444" s="34"/>
      <c r="I444" s="34"/>
      <c r="J444" s="34"/>
    </row>
    <row r="445">
      <c r="A445" s="7"/>
      <c r="B445" s="8"/>
      <c r="C445" s="8"/>
      <c r="D445" s="8"/>
      <c r="E445" s="8"/>
      <c r="F445" s="34"/>
      <c r="G445" s="34"/>
      <c r="H445" s="34"/>
      <c r="I445" s="34"/>
      <c r="J445" s="34"/>
    </row>
    <row r="446">
      <c r="A446" s="7"/>
      <c r="B446" s="8"/>
      <c r="C446" s="8"/>
      <c r="D446" s="8"/>
      <c r="E446" s="8"/>
      <c r="F446" s="34"/>
      <c r="G446" s="34"/>
      <c r="H446" s="34"/>
      <c r="I446" s="34"/>
      <c r="J446" s="34"/>
    </row>
    <row r="447">
      <c r="A447" s="7"/>
      <c r="B447" s="8"/>
      <c r="C447" s="8"/>
      <c r="D447" s="8"/>
      <c r="E447" s="8"/>
      <c r="F447" s="34"/>
      <c r="G447" s="34"/>
      <c r="H447" s="34"/>
      <c r="I447" s="34"/>
      <c r="J447" s="34"/>
    </row>
    <row r="448">
      <c r="A448" s="7"/>
      <c r="B448" s="8"/>
      <c r="C448" s="8"/>
      <c r="D448" s="8"/>
      <c r="E448" s="8"/>
      <c r="F448" s="34"/>
      <c r="G448" s="34"/>
      <c r="H448" s="34"/>
      <c r="I448" s="34"/>
      <c r="J448" s="34"/>
    </row>
    <row r="449">
      <c r="A449" s="7"/>
      <c r="B449" s="8"/>
      <c r="C449" s="8"/>
      <c r="D449" s="8"/>
      <c r="E449" s="8"/>
      <c r="F449" s="34"/>
      <c r="G449" s="34"/>
      <c r="H449" s="34"/>
      <c r="I449" s="34"/>
      <c r="J449" s="34"/>
    </row>
    <row r="450">
      <c r="A450" s="7"/>
      <c r="B450" s="8"/>
      <c r="C450" s="8"/>
      <c r="D450" s="8"/>
      <c r="E450" s="8"/>
      <c r="F450" s="34"/>
      <c r="G450" s="34"/>
      <c r="H450" s="34"/>
      <c r="I450" s="34"/>
      <c r="J450" s="34"/>
    </row>
    <row r="451">
      <c r="A451" s="7"/>
      <c r="B451" s="8"/>
      <c r="C451" s="8"/>
      <c r="D451" s="8"/>
      <c r="E451" s="8"/>
      <c r="F451" s="34"/>
      <c r="G451" s="34"/>
      <c r="H451" s="34"/>
      <c r="I451" s="34"/>
      <c r="J451" s="34"/>
    </row>
    <row r="452">
      <c r="A452" s="7"/>
      <c r="B452" s="8"/>
      <c r="C452" s="8"/>
      <c r="D452" s="8"/>
      <c r="E452" s="8"/>
      <c r="F452" s="34"/>
      <c r="G452" s="34"/>
      <c r="H452" s="34"/>
      <c r="I452" s="34"/>
      <c r="J452" s="34"/>
    </row>
    <row r="453">
      <c r="A453" s="7"/>
      <c r="B453" s="8"/>
      <c r="C453" s="8"/>
      <c r="D453" s="8"/>
      <c r="E453" s="8"/>
      <c r="F453" s="34"/>
      <c r="G453" s="34"/>
      <c r="H453" s="34"/>
      <c r="I453" s="34"/>
      <c r="J453" s="34"/>
    </row>
    <row r="454">
      <c r="A454" s="7"/>
      <c r="B454" s="8"/>
      <c r="C454" s="8"/>
      <c r="D454" s="8"/>
      <c r="E454" s="8"/>
      <c r="F454" s="34"/>
      <c r="G454" s="34"/>
      <c r="H454" s="34"/>
      <c r="I454" s="34"/>
      <c r="J454" s="34"/>
    </row>
    <row r="455">
      <c r="A455" s="7"/>
      <c r="B455" s="8"/>
      <c r="C455" s="8"/>
      <c r="D455" s="8"/>
      <c r="E455" s="8"/>
      <c r="F455" s="34"/>
      <c r="G455" s="34"/>
      <c r="H455" s="34"/>
      <c r="I455" s="34"/>
      <c r="J455" s="34"/>
    </row>
    <row r="456">
      <c r="A456" s="7"/>
      <c r="B456" s="8"/>
      <c r="C456" s="8"/>
      <c r="D456" s="8"/>
      <c r="E456" s="8"/>
      <c r="F456" s="34"/>
      <c r="G456" s="34"/>
      <c r="H456" s="34"/>
      <c r="I456" s="34"/>
      <c r="J456" s="34"/>
    </row>
    <row r="457">
      <c r="A457" s="7"/>
      <c r="B457" s="8"/>
      <c r="C457" s="8"/>
      <c r="D457" s="8"/>
      <c r="E457" s="8"/>
      <c r="F457" s="34"/>
      <c r="G457" s="34"/>
      <c r="H457" s="34"/>
      <c r="I457" s="34"/>
      <c r="J457" s="34"/>
    </row>
    <row r="458">
      <c r="A458" s="7"/>
      <c r="B458" s="8"/>
      <c r="C458" s="8"/>
      <c r="D458" s="8"/>
      <c r="E458" s="8"/>
      <c r="F458" s="34"/>
      <c r="G458" s="34"/>
      <c r="H458" s="34"/>
      <c r="I458" s="34"/>
      <c r="J458" s="34"/>
    </row>
    <row r="459">
      <c r="A459" s="7"/>
      <c r="B459" s="8"/>
      <c r="C459" s="8"/>
      <c r="D459" s="8"/>
      <c r="E459" s="8"/>
      <c r="F459" s="34"/>
      <c r="G459" s="34"/>
      <c r="H459" s="34"/>
      <c r="I459" s="34"/>
      <c r="J459" s="34"/>
    </row>
    <row r="460">
      <c r="A460" s="7"/>
      <c r="B460" s="8"/>
      <c r="C460" s="8"/>
      <c r="D460" s="8"/>
      <c r="E460" s="8"/>
      <c r="F460" s="34"/>
      <c r="G460" s="34"/>
      <c r="H460" s="34"/>
      <c r="I460" s="34"/>
      <c r="J460" s="34"/>
    </row>
    <row r="461">
      <c r="A461" s="7"/>
      <c r="B461" s="8"/>
      <c r="C461" s="8"/>
      <c r="D461" s="8"/>
      <c r="E461" s="8"/>
      <c r="F461" s="34"/>
      <c r="G461" s="34"/>
      <c r="H461" s="34"/>
      <c r="I461" s="34"/>
      <c r="J461" s="34"/>
    </row>
    <row r="462">
      <c r="A462" s="7"/>
      <c r="B462" s="8"/>
      <c r="C462" s="8"/>
      <c r="D462" s="8"/>
      <c r="E462" s="8"/>
      <c r="F462" s="34"/>
      <c r="G462" s="34"/>
      <c r="H462" s="34"/>
      <c r="I462" s="34"/>
      <c r="J462" s="34"/>
    </row>
    <row r="463">
      <c r="A463" s="7"/>
      <c r="B463" s="8"/>
      <c r="C463" s="8"/>
      <c r="D463" s="8"/>
      <c r="E463" s="8"/>
      <c r="F463" s="34"/>
      <c r="G463" s="34"/>
      <c r="H463" s="34"/>
      <c r="I463" s="34"/>
      <c r="J463" s="34"/>
    </row>
    <row r="464">
      <c r="A464" s="7"/>
      <c r="B464" s="8"/>
      <c r="C464" s="8"/>
      <c r="D464" s="8"/>
      <c r="E464" s="8"/>
      <c r="F464" s="34"/>
      <c r="G464" s="34"/>
      <c r="H464" s="34"/>
      <c r="I464" s="34"/>
      <c r="J464" s="34"/>
    </row>
    <row r="465">
      <c r="A465" s="7"/>
      <c r="B465" s="8"/>
      <c r="C465" s="8"/>
      <c r="D465" s="8"/>
      <c r="E465" s="8"/>
      <c r="F465" s="34"/>
      <c r="G465" s="34"/>
      <c r="H465" s="34"/>
      <c r="I465" s="34"/>
      <c r="J465" s="34"/>
    </row>
    <row r="466">
      <c r="A466" s="7"/>
      <c r="B466" s="8"/>
      <c r="C466" s="8"/>
      <c r="D466" s="8"/>
      <c r="E466" s="8"/>
      <c r="F466" s="34"/>
      <c r="G466" s="34"/>
      <c r="H466" s="34"/>
      <c r="I466" s="34"/>
      <c r="J466" s="34"/>
    </row>
    <row r="467">
      <c r="A467" s="7"/>
      <c r="B467" s="8"/>
      <c r="C467" s="8"/>
      <c r="D467" s="8"/>
      <c r="E467" s="8"/>
      <c r="F467" s="34"/>
      <c r="G467" s="34"/>
      <c r="H467" s="34"/>
      <c r="I467" s="34"/>
      <c r="J467" s="34"/>
    </row>
    <row r="468">
      <c r="A468" s="7"/>
      <c r="B468" s="8"/>
      <c r="C468" s="8"/>
      <c r="D468" s="8"/>
      <c r="E468" s="8"/>
      <c r="F468" s="34"/>
      <c r="G468" s="34"/>
      <c r="H468" s="34"/>
      <c r="I468" s="34"/>
      <c r="J468" s="34"/>
    </row>
    <row r="469">
      <c r="A469" s="7"/>
      <c r="B469" s="8"/>
      <c r="C469" s="8"/>
      <c r="D469" s="8"/>
      <c r="E469" s="8"/>
      <c r="F469" s="34"/>
      <c r="G469" s="34"/>
      <c r="H469" s="34"/>
      <c r="I469" s="34"/>
      <c r="J469" s="34"/>
    </row>
    <row r="470">
      <c r="A470" s="7"/>
      <c r="B470" s="8"/>
      <c r="C470" s="8"/>
      <c r="D470" s="8"/>
      <c r="E470" s="8"/>
      <c r="F470" s="34"/>
      <c r="G470" s="34"/>
      <c r="H470" s="34"/>
      <c r="I470" s="34"/>
      <c r="J470" s="34"/>
    </row>
    <row r="471">
      <c r="A471" s="7"/>
      <c r="B471" s="8"/>
      <c r="C471" s="8"/>
      <c r="D471" s="8"/>
      <c r="E471" s="8"/>
      <c r="F471" s="34"/>
      <c r="G471" s="34"/>
      <c r="H471" s="34"/>
      <c r="I471" s="34"/>
      <c r="J471" s="34"/>
    </row>
    <row r="472">
      <c r="A472" s="7"/>
      <c r="B472" s="8"/>
      <c r="C472" s="8"/>
      <c r="D472" s="8"/>
      <c r="E472" s="8"/>
      <c r="F472" s="34"/>
      <c r="G472" s="34"/>
      <c r="H472" s="34"/>
      <c r="I472" s="34"/>
      <c r="J472" s="34"/>
    </row>
    <row r="473">
      <c r="A473" s="7"/>
      <c r="B473" s="8"/>
      <c r="C473" s="8"/>
      <c r="D473" s="8"/>
      <c r="E473" s="8"/>
      <c r="F473" s="34"/>
      <c r="G473" s="34"/>
      <c r="H473" s="34"/>
      <c r="I473" s="34"/>
      <c r="J473" s="34"/>
    </row>
    <row r="474">
      <c r="A474" s="7"/>
      <c r="B474" s="8"/>
      <c r="C474" s="8"/>
      <c r="D474" s="8"/>
      <c r="E474" s="8"/>
      <c r="F474" s="34"/>
      <c r="G474" s="34"/>
      <c r="H474" s="34"/>
      <c r="I474" s="34"/>
      <c r="J474" s="34"/>
    </row>
    <row r="475">
      <c r="A475" s="7"/>
      <c r="B475" s="8"/>
      <c r="C475" s="8"/>
      <c r="D475" s="8"/>
      <c r="E475" s="8"/>
      <c r="F475" s="34"/>
      <c r="G475" s="34"/>
      <c r="H475" s="34"/>
      <c r="I475" s="34"/>
      <c r="J475" s="34"/>
    </row>
    <row r="476">
      <c r="A476" s="7"/>
      <c r="B476" s="8"/>
      <c r="C476" s="8"/>
      <c r="D476" s="8"/>
      <c r="E476" s="8"/>
      <c r="F476" s="34"/>
      <c r="G476" s="34"/>
      <c r="H476" s="34"/>
      <c r="I476" s="34"/>
      <c r="J476" s="34"/>
    </row>
    <row r="477">
      <c r="A477" s="7"/>
      <c r="B477" s="8"/>
      <c r="C477" s="8"/>
      <c r="D477" s="8"/>
      <c r="E477" s="8"/>
      <c r="F477" s="34"/>
      <c r="G477" s="34"/>
      <c r="H477" s="34"/>
      <c r="I477" s="34"/>
      <c r="J477" s="34"/>
    </row>
    <row r="478">
      <c r="A478" s="7"/>
      <c r="B478" s="8"/>
      <c r="C478" s="8"/>
      <c r="D478" s="8"/>
      <c r="E478" s="8"/>
      <c r="F478" s="34"/>
      <c r="G478" s="34"/>
      <c r="H478" s="34"/>
      <c r="I478" s="34"/>
      <c r="J478" s="34"/>
    </row>
    <row r="479">
      <c r="A479" s="7"/>
      <c r="B479" s="8"/>
      <c r="C479" s="8"/>
      <c r="D479" s="8"/>
      <c r="E479" s="8"/>
      <c r="F479" s="34"/>
      <c r="G479" s="34"/>
      <c r="H479" s="34"/>
      <c r="I479" s="34"/>
      <c r="J479" s="34"/>
    </row>
    <row r="480">
      <c r="A480" s="7"/>
      <c r="B480" s="8"/>
      <c r="C480" s="8"/>
      <c r="D480" s="8"/>
      <c r="E480" s="8"/>
      <c r="F480" s="34"/>
      <c r="G480" s="34"/>
      <c r="H480" s="34"/>
      <c r="I480" s="34"/>
      <c r="J480" s="34"/>
    </row>
    <row r="481">
      <c r="A481" s="7"/>
      <c r="B481" s="8"/>
      <c r="C481" s="8"/>
      <c r="D481" s="8"/>
      <c r="E481" s="8"/>
      <c r="F481" s="34"/>
      <c r="G481" s="34"/>
      <c r="H481" s="34"/>
      <c r="I481" s="34"/>
      <c r="J481" s="34"/>
    </row>
    <row r="482">
      <c r="A482" s="7"/>
      <c r="B482" s="8"/>
      <c r="C482" s="8"/>
      <c r="D482" s="8"/>
      <c r="E482" s="8"/>
      <c r="F482" s="34"/>
      <c r="G482" s="34"/>
      <c r="H482" s="34"/>
      <c r="I482" s="34"/>
      <c r="J482" s="34"/>
    </row>
    <row r="483">
      <c r="A483" s="7"/>
      <c r="B483" s="8"/>
      <c r="C483" s="8"/>
      <c r="D483" s="8"/>
      <c r="E483" s="8"/>
      <c r="F483" s="34"/>
      <c r="G483" s="34"/>
      <c r="H483" s="34"/>
      <c r="I483" s="34"/>
      <c r="J483" s="34"/>
    </row>
    <row r="484">
      <c r="A484" s="7"/>
      <c r="B484" s="8"/>
      <c r="C484" s="8"/>
      <c r="D484" s="8"/>
      <c r="E484" s="8"/>
      <c r="F484" s="34"/>
      <c r="G484" s="34"/>
      <c r="H484" s="34"/>
      <c r="I484" s="34"/>
      <c r="J484" s="34"/>
    </row>
    <row r="485">
      <c r="A485" s="7"/>
      <c r="B485" s="8"/>
      <c r="C485" s="8"/>
      <c r="D485" s="8"/>
      <c r="E485" s="8"/>
      <c r="F485" s="34"/>
      <c r="G485" s="34"/>
      <c r="H485" s="34"/>
      <c r="I485" s="34"/>
      <c r="J485" s="34"/>
    </row>
    <row r="486">
      <c r="A486" s="7"/>
      <c r="B486" s="8"/>
      <c r="C486" s="8"/>
      <c r="D486" s="8"/>
      <c r="E486" s="8"/>
      <c r="F486" s="34"/>
      <c r="G486" s="34"/>
      <c r="H486" s="34"/>
      <c r="I486" s="34"/>
      <c r="J486" s="34"/>
    </row>
    <row r="487">
      <c r="A487" s="7"/>
      <c r="B487" s="8"/>
      <c r="C487" s="8"/>
      <c r="D487" s="8"/>
      <c r="E487" s="8"/>
      <c r="F487" s="34"/>
      <c r="G487" s="34"/>
      <c r="H487" s="34"/>
      <c r="I487" s="34"/>
      <c r="J487" s="34"/>
    </row>
    <row r="488">
      <c r="A488" s="7"/>
      <c r="B488" s="8"/>
      <c r="C488" s="8"/>
      <c r="D488" s="8"/>
      <c r="E488" s="8"/>
      <c r="F488" s="34"/>
      <c r="G488" s="34"/>
      <c r="H488" s="34"/>
      <c r="I488" s="34"/>
      <c r="J488" s="34"/>
    </row>
    <row r="489">
      <c r="A489" s="7"/>
      <c r="B489" s="8"/>
      <c r="C489" s="8"/>
      <c r="D489" s="8"/>
      <c r="E489" s="8"/>
      <c r="F489" s="34"/>
      <c r="G489" s="34"/>
      <c r="H489" s="34"/>
      <c r="I489" s="34"/>
      <c r="J489" s="34"/>
    </row>
    <row r="490">
      <c r="A490" s="7"/>
      <c r="B490" s="8"/>
      <c r="C490" s="8"/>
      <c r="D490" s="8"/>
      <c r="E490" s="8"/>
      <c r="F490" s="34"/>
      <c r="G490" s="34"/>
      <c r="H490" s="34"/>
      <c r="I490" s="34"/>
      <c r="J490" s="34"/>
    </row>
    <row r="491">
      <c r="A491" s="7"/>
      <c r="B491" s="8"/>
      <c r="C491" s="8"/>
      <c r="D491" s="8"/>
      <c r="E491" s="8"/>
      <c r="F491" s="34"/>
      <c r="G491" s="34"/>
      <c r="H491" s="34"/>
      <c r="I491" s="34"/>
      <c r="J491" s="34"/>
    </row>
    <row r="492">
      <c r="A492" s="7"/>
      <c r="B492" s="8"/>
      <c r="C492" s="8"/>
      <c r="D492" s="8"/>
      <c r="E492" s="8"/>
      <c r="F492" s="34"/>
      <c r="G492" s="34"/>
      <c r="H492" s="34"/>
      <c r="I492" s="34"/>
      <c r="J492" s="34"/>
    </row>
    <row r="493">
      <c r="A493" s="7"/>
      <c r="B493" s="8"/>
      <c r="C493" s="8"/>
      <c r="D493" s="8"/>
      <c r="E493" s="8"/>
      <c r="F493" s="34"/>
      <c r="G493" s="34"/>
      <c r="H493" s="34"/>
      <c r="I493" s="34"/>
      <c r="J493" s="34"/>
    </row>
    <row r="494">
      <c r="A494" s="7"/>
      <c r="B494" s="8"/>
      <c r="C494" s="8"/>
      <c r="D494" s="8"/>
      <c r="E494" s="8"/>
      <c r="F494" s="34"/>
      <c r="G494" s="34"/>
      <c r="H494" s="34"/>
      <c r="I494" s="34"/>
      <c r="J494" s="34"/>
    </row>
    <row r="495">
      <c r="A495" s="7"/>
      <c r="B495" s="8"/>
      <c r="C495" s="8"/>
      <c r="D495" s="8"/>
      <c r="E495" s="8"/>
      <c r="F495" s="34"/>
      <c r="G495" s="34"/>
      <c r="H495" s="34"/>
      <c r="I495" s="34"/>
      <c r="J495" s="34"/>
    </row>
    <row r="496">
      <c r="A496" s="7"/>
      <c r="B496" s="8"/>
      <c r="C496" s="8"/>
      <c r="D496" s="8"/>
      <c r="E496" s="8"/>
      <c r="F496" s="34"/>
      <c r="G496" s="34"/>
      <c r="H496" s="34"/>
      <c r="I496" s="34"/>
      <c r="J496" s="34"/>
    </row>
    <row r="497">
      <c r="A497" s="7"/>
      <c r="B497" s="8"/>
      <c r="C497" s="8"/>
      <c r="D497" s="8"/>
      <c r="E497" s="8"/>
      <c r="F497" s="34"/>
      <c r="G497" s="34"/>
      <c r="H497" s="34"/>
      <c r="I497" s="34"/>
      <c r="J497" s="34"/>
    </row>
    <row r="498">
      <c r="A498" s="7"/>
      <c r="B498" s="8"/>
      <c r="C498" s="8"/>
      <c r="D498" s="8"/>
      <c r="E498" s="8"/>
      <c r="F498" s="34"/>
      <c r="G498" s="34"/>
      <c r="H498" s="34"/>
      <c r="I498" s="34"/>
      <c r="J498" s="34"/>
    </row>
    <row r="499">
      <c r="A499" s="7"/>
      <c r="B499" s="8"/>
      <c r="C499" s="8"/>
      <c r="D499" s="8"/>
      <c r="E499" s="8"/>
      <c r="F499" s="34"/>
      <c r="G499" s="34"/>
      <c r="H499" s="34"/>
      <c r="I499" s="34"/>
      <c r="J499" s="34"/>
    </row>
    <row r="500">
      <c r="A500" s="7"/>
      <c r="B500" s="8"/>
      <c r="C500" s="8"/>
      <c r="D500" s="8"/>
      <c r="E500" s="8"/>
      <c r="F500" s="34"/>
      <c r="G500" s="34"/>
      <c r="H500" s="34"/>
      <c r="I500" s="34"/>
      <c r="J500" s="34"/>
    </row>
    <row r="501">
      <c r="A501" s="7"/>
      <c r="B501" s="8"/>
      <c r="C501" s="8"/>
      <c r="D501" s="8"/>
      <c r="E501" s="8"/>
      <c r="F501" s="34"/>
      <c r="G501" s="34"/>
      <c r="H501" s="34"/>
      <c r="I501" s="34"/>
      <c r="J501" s="34"/>
    </row>
    <row r="502">
      <c r="A502" s="7"/>
      <c r="B502" s="8"/>
      <c r="C502" s="8"/>
      <c r="D502" s="8"/>
      <c r="E502" s="8"/>
      <c r="F502" s="34"/>
      <c r="G502" s="34"/>
      <c r="H502" s="34"/>
      <c r="I502" s="34"/>
      <c r="J502" s="34"/>
    </row>
    <row r="503">
      <c r="A503" s="7"/>
      <c r="B503" s="8"/>
      <c r="C503" s="8"/>
      <c r="D503" s="8"/>
      <c r="E503" s="8"/>
      <c r="F503" s="34"/>
      <c r="G503" s="34"/>
      <c r="H503" s="34"/>
      <c r="I503" s="34"/>
      <c r="J503" s="34"/>
    </row>
    <row r="504">
      <c r="A504" s="7"/>
      <c r="B504" s="8"/>
      <c r="C504" s="8"/>
      <c r="D504" s="8"/>
      <c r="E504" s="8"/>
      <c r="F504" s="34"/>
      <c r="G504" s="34"/>
      <c r="H504" s="34"/>
      <c r="I504" s="34"/>
      <c r="J504" s="34"/>
    </row>
    <row r="505">
      <c r="A505" s="7"/>
      <c r="B505" s="8"/>
      <c r="C505" s="8"/>
      <c r="D505" s="8"/>
      <c r="E505" s="8"/>
      <c r="F505" s="34"/>
      <c r="G505" s="34"/>
      <c r="H505" s="34"/>
      <c r="I505" s="34"/>
      <c r="J505" s="34"/>
    </row>
    <row r="506">
      <c r="A506" s="7"/>
      <c r="B506" s="8"/>
      <c r="C506" s="8"/>
      <c r="D506" s="8"/>
      <c r="E506" s="8"/>
      <c r="F506" s="34"/>
      <c r="G506" s="34"/>
      <c r="H506" s="34"/>
      <c r="I506" s="34"/>
      <c r="J506" s="34"/>
    </row>
    <row r="507">
      <c r="A507" s="7"/>
      <c r="B507" s="8"/>
      <c r="C507" s="8"/>
      <c r="D507" s="8"/>
      <c r="E507" s="8"/>
      <c r="F507" s="34"/>
      <c r="G507" s="34"/>
      <c r="H507" s="34"/>
      <c r="I507" s="34"/>
      <c r="J507" s="34"/>
    </row>
    <row r="508">
      <c r="A508" s="7"/>
      <c r="B508" s="8"/>
      <c r="C508" s="8"/>
      <c r="D508" s="8"/>
      <c r="E508" s="8"/>
      <c r="F508" s="34"/>
      <c r="G508" s="34"/>
      <c r="H508" s="34"/>
      <c r="I508" s="34"/>
      <c r="J508" s="34"/>
    </row>
    <row r="509">
      <c r="A509" s="7"/>
      <c r="B509" s="8"/>
      <c r="C509" s="8"/>
      <c r="D509" s="8"/>
      <c r="E509" s="8"/>
      <c r="F509" s="34"/>
      <c r="G509" s="34"/>
      <c r="H509" s="34"/>
      <c r="I509" s="34"/>
      <c r="J509" s="34"/>
    </row>
    <row r="510">
      <c r="A510" s="7"/>
      <c r="B510" s="8"/>
      <c r="C510" s="8"/>
      <c r="D510" s="8"/>
      <c r="E510" s="8"/>
      <c r="F510" s="34"/>
      <c r="G510" s="34"/>
      <c r="H510" s="34"/>
      <c r="I510" s="34"/>
      <c r="J510" s="34"/>
    </row>
    <row r="511">
      <c r="A511" s="7"/>
      <c r="B511" s="8"/>
      <c r="C511" s="8"/>
      <c r="D511" s="8"/>
      <c r="E511" s="8"/>
      <c r="F511" s="34"/>
      <c r="G511" s="34"/>
      <c r="H511" s="34"/>
      <c r="I511" s="34"/>
      <c r="J511" s="34"/>
    </row>
    <row r="512">
      <c r="A512" s="7"/>
      <c r="B512" s="8"/>
      <c r="C512" s="8"/>
      <c r="D512" s="8"/>
      <c r="E512" s="8"/>
      <c r="F512" s="34"/>
      <c r="G512" s="34"/>
      <c r="H512" s="34"/>
      <c r="I512" s="34"/>
      <c r="J512" s="34"/>
    </row>
    <row r="513">
      <c r="A513" s="7"/>
      <c r="B513" s="8"/>
      <c r="C513" s="8"/>
      <c r="D513" s="8"/>
      <c r="E513" s="8"/>
      <c r="F513" s="34"/>
      <c r="G513" s="34"/>
      <c r="H513" s="34"/>
      <c r="I513" s="34"/>
      <c r="J513" s="34"/>
    </row>
    <row r="514">
      <c r="A514" s="7"/>
      <c r="B514" s="8"/>
      <c r="C514" s="8"/>
      <c r="D514" s="8"/>
      <c r="E514" s="8"/>
      <c r="F514" s="34"/>
      <c r="G514" s="34"/>
      <c r="H514" s="34"/>
      <c r="I514" s="34"/>
      <c r="J514" s="34"/>
    </row>
    <row r="515">
      <c r="A515" s="7"/>
      <c r="B515" s="8"/>
      <c r="C515" s="8"/>
      <c r="D515" s="8"/>
      <c r="E515" s="8"/>
      <c r="F515" s="34"/>
      <c r="G515" s="34"/>
      <c r="H515" s="34"/>
      <c r="I515" s="34"/>
      <c r="J515" s="34"/>
    </row>
    <row r="516">
      <c r="A516" s="7"/>
      <c r="B516" s="8"/>
      <c r="C516" s="8"/>
      <c r="D516" s="8"/>
      <c r="E516" s="8"/>
      <c r="F516" s="34"/>
      <c r="G516" s="34"/>
      <c r="H516" s="34"/>
      <c r="I516" s="34"/>
      <c r="J516" s="34"/>
    </row>
    <row r="517">
      <c r="A517" s="7"/>
      <c r="B517" s="8"/>
      <c r="C517" s="8"/>
      <c r="D517" s="8"/>
      <c r="E517" s="8"/>
      <c r="F517" s="34"/>
      <c r="G517" s="34"/>
      <c r="H517" s="34"/>
      <c r="I517" s="34"/>
      <c r="J517" s="34"/>
    </row>
    <row r="518">
      <c r="A518" s="7"/>
      <c r="B518" s="8"/>
      <c r="C518" s="8"/>
      <c r="D518" s="8"/>
      <c r="E518" s="8"/>
      <c r="F518" s="34"/>
      <c r="G518" s="34"/>
      <c r="H518" s="34"/>
      <c r="I518" s="34"/>
      <c r="J518" s="34"/>
    </row>
    <row r="519">
      <c r="A519" s="7"/>
      <c r="B519" s="8"/>
      <c r="C519" s="8"/>
      <c r="D519" s="8"/>
      <c r="E519" s="8"/>
      <c r="F519" s="34"/>
      <c r="G519" s="34"/>
      <c r="H519" s="34"/>
      <c r="I519" s="34"/>
      <c r="J519" s="34"/>
    </row>
    <row r="520">
      <c r="A520" s="7"/>
      <c r="B520" s="8"/>
      <c r="C520" s="8"/>
      <c r="D520" s="8"/>
      <c r="E520" s="8"/>
      <c r="F520" s="34"/>
      <c r="G520" s="34"/>
      <c r="H520" s="34"/>
      <c r="I520" s="34"/>
      <c r="J520" s="34"/>
    </row>
    <row r="521">
      <c r="A521" s="7"/>
      <c r="B521" s="8"/>
      <c r="C521" s="8"/>
      <c r="D521" s="8"/>
      <c r="E521" s="8"/>
      <c r="F521" s="34"/>
      <c r="G521" s="34"/>
      <c r="H521" s="34"/>
      <c r="I521" s="34"/>
      <c r="J521" s="34"/>
    </row>
    <row r="522">
      <c r="A522" s="7"/>
      <c r="B522" s="8"/>
      <c r="C522" s="8"/>
      <c r="D522" s="8"/>
      <c r="E522" s="8"/>
      <c r="F522" s="34"/>
      <c r="G522" s="34"/>
      <c r="H522" s="34"/>
      <c r="I522" s="34"/>
      <c r="J522" s="34"/>
    </row>
    <row r="523">
      <c r="A523" s="7"/>
      <c r="B523" s="8"/>
      <c r="C523" s="8"/>
      <c r="D523" s="8"/>
      <c r="E523" s="8"/>
      <c r="F523" s="34"/>
      <c r="G523" s="34"/>
      <c r="H523" s="34"/>
      <c r="I523" s="34"/>
      <c r="J523" s="34"/>
    </row>
    <row r="524">
      <c r="A524" s="7"/>
      <c r="B524" s="8"/>
      <c r="C524" s="8"/>
      <c r="D524" s="8"/>
      <c r="E524" s="8"/>
      <c r="F524" s="34"/>
      <c r="G524" s="34"/>
      <c r="H524" s="34"/>
      <c r="I524" s="34"/>
      <c r="J524" s="34"/>
    </row>
    <row r="525">
      <c r="A525" s="7"/>
      <c r="B525" s="8"/>
      <c r="C525" s="8"/>
      <c r="D525" s="8"/>
      <c r="E525" s="8"/>
      <c r="F525" s="34"/>
      <c r="G525" s="34"/>
      <c r="H525" s="34"/>
      <c r="I525" s="34"/>
      <c r="J525" s="34"/>
    </row>
    <row r="526">
      <c r="A526" s="7"/>
      <c r="B526" s="8"/>
      <c r="C526" s="8"/>
      <c r="D526" s="8"/>
      <c r="E526" s="8"/>
      <c r="F526" s="34"/>
      <c r="G526" s="34"/>
      <c r="H526" s="34"/>
      <c r="I526" s="34"/>
      <c r="J526" s="34"/>
    </row>
    <row r="527">
      <c r="A527" s="7"/>
      <c r="B527" s="8"/>
      <c r="C527" s="8"/>
      <c r="D527" s="8"/>
      <c r="E527" s="8"/>
      <c r="F527" s="34"/>
      <c r="G527" s="34"/>
      <c r="H527" s="34"/>
      <c r="I527" s="34"/>
      <c r="J527" s="34"/>
    </row>
    <row r="528">
      <c r="A528" s="7"/>
      <c r="B528" s="8"/>
      <c r="C528" s="8"/>
      <c r="D528" s="8"/>
      <c r="E528" s="8"/>
      <c r="F528" s="34"/>
      <c r="G528" s="34"/>
      <c r="H528" s="34"/>
      <c r="I528" s="34"/>
      <c r="J528" s="34"/>
    </row>
    <row r="529">
      <c r="A529" s="7"/>
      <c r="B529" s="8"/>
      <c r="C529" s="8"/>
      <c r="D529" s="8"/>
      <c r="E529" s="8"/>
      <c r="F529" s="34"/>
      <c r="G529" s="34"/>
      <c r="H529" s="34"/>
      <c r="I529" s="34"/>
      <c r="J529" s="34"/>
    </row>
    <row r="530">
      <c r="A530" s="7"/>
      <c r="B530" s="8"/>
      <c r="C530" s="8"/>
      <c r="D530" s="8"/>
      <c r="E530" s="8"/>
      <c r="F530" s="34"/>
      <c r="G530" s="34"/>
      <c r="H530" s="34"/>
      <c r="I530" s="34"/>
      <c r="J530" s="34"/>
    </row>
    <row r="531">
      <c r="A531" s="7"/>
      <c r="B531" s="8"/>
      <c r="C531" s="8"/>
      <c r="D531" s="8"/>
      <c r="E531" s="8"/>
      <c r="F531" s="34"/>
      <c r="G531" s="34"/>
      <c r="H531" s="34"/>
      <c r="I531" s="34"/>
      <c r="J531" s="34"/>
    </row>
    <row r="532">
      <c r="A532" s="7"/>
      <c r="B532" s="8"/>
      <c r="C532" s="8"/>
      <c r="D532" s="8"/>
      <c r="E532" s="8"/>
      <c r="F532" s="34"/>
      <c r="G532" s="34"/>
      <c r="H532" s="34"/>
      <c r="I532" s="34"/>
      <c r="J532" s="34"/>
    </row>
    <row r="533">
      <c r="A533" s="7"/>
      <c r="B533" s="8"/>
      <c r="C533" s="8"/>
      <c r="D533" s="8"/>
      <c r="E533" s="8"/>
      <c r="F533" s="34"/>
      <c r="G533" s="34"/>
      <c r="H533" s="34"/>
      <c r="I533" s="34"/>
      <c r="J533" s="34"/>
    </row>
    <row r="534">
      <c r="A534" s="7"/>
      <c r="B534" s="8"/>
      <c r="C534" s="8"/>
      <c r="D534" s="8"/>
      <c r="E534" s="8"/>
      <c r="F534" s="34"/>
      <c r="G534" s="34"/>
      <c r="H534" s="34"/>
      <c r="I534" s="34"/>
      <c r="J534" s="34"/>
    </row>
    <row r="535">
      <c r="A535" s="7"/>
      <c r="B535" s="8"/>
      <c r="C535" s="8"/>
      <c r="D535" s="8"/>
      <c r="E535" s="8"/>
      <c r="F535" s="34"/>
      <c r="G535" s="34"/>
      <c r="H535" s="34"/>
      <c r="I535" s="34"/>
      <c r="J535" s="34"/>
    </row>
    <row r="536">
      <c r="A536" s="7"/>
      <c r="B536" s="8"/>
      <c r="C536" s="8"/>
      <c r="D536" s="8"/>
      <c r="E536" s="8"/>
      <c r="F536" s="34"/>
      <c r="G536" s="34"/>
      <c r="H536" s="34"/>
      <c r="I536" s="34"/>
      <c r="J536" s="34"/>
    </row>
    <row r="537">
      <c r="A537" s="7"/>
      <c r="B537" s="8"/>
      <c r="C537" s="8"/>
      <c r="D537" s="8"/>
      <c r="E537" s="8"/>
      <c r="F537" s="34"/>
      <c r="G537" s="34"/>
      <c r="H537" s="34"/>
      <c r="I537" s="34"/>
      <c r="J537" s="34"/>
    </row>
    <row r="538">
      <c r="A538" s="7"/>
      <c r="B538" s="8"/>
      <c r="C538" s="8"/>
      <c r="D538" s="8"/>
      <c r="E538" s="8"/>
      <c r="F538" s="34"/>
      <c r="G538" s="34"/>
      <c r="H538" s="34"/>
      <c r="I538" s="34"/>
      <c r="J538" s="34"/>
    </row>
    <row r="539">
      <c r="A539" s="7"/>
      <c r="B539" s="8"/>
      <c r="C539" s="8"/>
      <c r="D539" s="8"/>
      <c r="E539" s="8"/>
      <c r="F539" s="34"/>
      <c r="G539" s="34"/>
      <c r="H539" s="34"/>
      <c r="I539" s="34"/>
      <c r="J539" s="34"/>
    </row>
    <row r="540">
      <c r="A540" s="7"/>
      <c r="B540" s="8"/>
      <c r="C540" s="8"/>
      <c r="D540" s="8"/>
      <c r="E540" s="8"/>
      <c r="F540" s="34"/>
      <c r="G540" s="34"/>
      <c r="H540" s="34"/>
      <c r="I540" s="34"/>
      <c r="J540" s="34"/>
    </row>
    <row r="541">
      <c r="A541" s="7"/>
      <c r="B541" s="8"/>
      <c r="C541" s="8"/>
      <c r="D541" s="8"/>
      <c r="E541" s="8"/>
      <c r="F541" s="34"/>
      <c r="G541" s="34"/>
      <c r="H541" s="34"/>
      <c r="I541" s="34"/>
      <c r="J541" s="34"/>
    </row>
    <row r="542">
      <c r="A542" s="7"/>
      <c r="B542" s="8"/>
      <c r="C542" s="8"/>
      <c r="D542" s="8"/>
      <c r="E542" s="8"/>
      <c r="F542" s="34"/>
      <c r="G542" s="34"/>
      <c r="H542" s="34"/>
      <c r="I542" s="34"/>
      <c r="J542" s="34"/>
    </row>
    <row r="543">
      <c r="A543" s="7"/>
      <c r="B543" s="8"/>
      <c r="C543" s="8"/>
      <c r="D543" s="8"/>
      <c r="E543" s="8"/>
      <c r="F543" s="34"/>
      <c r="G543" s="34"/>
      <c r="H543" s="34"/>
      <c r="I543" s="34"/>
      <c r="J543" s="34"/>
    </row>
    <row r="544">
      <c r="A544" s="7"/>
      <c r="B544" s="8"/>
      <c r="C544" s="8"/>
      <c r="D544" s="8"/>
      <c r="E544" s="8"/>
      <c r="F544" s="34"/>
      <c r="G544" s="34"/>
      <c r="H544" s="34"/>
      <c r="I544" s="34"/>
      <c r="J544" s="34"/>
    </row>
    <row r="545">
      <c r="A545" s="7"/>
      <c r="B545" s="8"/>
      <c r="C545" s="8"/>
      <c r="D545" s="8"/>
      <c r="E545" s="8"/>
      <c r="F545" s="34"/>
      <c r="G545" s="34"/>
      <c r="H545" s="34"/>
      <c r="I545" s="34"/>
      <c r="J545" s="34"/>
    </row>
    <row r="546">
      <c r="A546" s="7"/>
      <c r="B546" s="8"/>
      <c r="C546" s="8"/>
      <c r="D546" s="8"/>
      <c r="E546" s="8"/>
      <c r="F546" s="34"/>
      <c r="G546" s="34"/>
      <c r="H546" s="34"/>
      <c r="I546" s="34"/>
      <c r="J546" s="34"/>
    </row>
    <row r="547">
      <c r="A547" s="7"/>
      <c r="B547" s="8"/>
      <c r="C547" s="8"/>
      <c r="D547" s="8"/>
      <c r="E547" s="8"/>
      <c r="F547" s="34"/>
      <c r="G547" s="34"/>
      <c r="H547" s="34"/>
      <c r="I547" s="34"/>
      <c r="J547" s="34"/>
    </row>
    <row r="548">
      <c r="A548" s="7"/>
      <c r="B548" s="8"/>
      <c r="C548" s="8"/>
      <c r="D548" s="8"/>
      <c r="E548" s="8"/>
      <c r="F548" s="34"/>
      <c r="G548" s="34"/>
      <c r="H548" s="34"/>
      <c r="I548" s="34"/>
      <c r="J548" s="34"/>
    </row>
    <row r="549">
      <c r="A549" s="7"/>
      <c r="B549" s="8"/>
      <c r="C549" s="8"/>
      <c r="D549" s="8"/>
      <c r="E549" s="8"/>
      <c r="F549" s="34"/>
      <c r="G549" s="34"/>
      <c r="H549" s="34"/>
      <c r="I549" s="34"/>
      <c r="J549" s="34"/>
    </row>
    <row r="550">
      <c r="A550" s="7"/>
      <c r="B550" s="8"/>
      <c r="C550" s="8"/>
      <c r="D550" s="8"/>
      <c r="E550" s="8"/>
      <c r="F550" s="34"/>
      <c r="G550" s="34"/>
      <c r="H550" s="34"/>
      <c r="I550" s="34"/>
      <c r="J550" s="34"/>
    </row>
    <row r="551">
      <c r="A551" s="7"/>
      <c r="B551" s="8"/>
      <c r="C551" s="8"/>
      <c r="D551" s="8"/>
      <c r="E551" s="8"/>
      <c r="F551" s="34"/>
      <c r="G551" s="34"/>
      <c r="H551" s="34"/>
      <c r="I551" s="34"/>
      <c r="J551" s="34"/>
    </row>
    <row r="552">
      <c r="A552" s="7"/>
      <c r="B552" s="8"/>
      <c r="C552" s="8"/>
      <c r="D552" s="8"/>
      <c r="E552" s="8"/>
      <c r="F552" s="34"/>
      <c r="G552" s="34"/>
      <c r="H552" s="34"/>
      <c r="I552" s="34"/>
      <c r="J552" s="34"/>
    </row>
    <row r="553">
      <c r="A553" s="7"/>
      <c r="B553" s="8"/>
      <c r="C553" s="8"/>
      <c r="D553" s="8"/>
      <c r="E553" s="8"/>
      <c r="F553" s="34"/>
      <c r="G553" s="34"/>
      <c r="H553" s="34"/>
      <c r="I553" s="34"/>
      <c r="J553" s="34"/>
    </row>
    <row r="554">
      <c r="A554" s="7"/>
      <c r="B554" s="8"/>
      <c r="C554" s="8"/>
      <c r="D554" s="8"/>
      <c r="E554" s="8"/>
      <c r="F554" s="34"/>
      <c r="G554" s="34"/>
      <c r="H554" s="34"/>
      <c r="I554" s="34"/>
      <c r="J554" s="34"/>
    </row>
    <row r="555">
      <c r="A555" s="7"/>
      <c r="B555" s="8"/>
      <c r="C555" s="8"/>
      <c r="D555" s="8"/>
      <c r="E555" s="8"/>
      <c r="F555" s="34"/>
      <c r="G555" s="34"/>
      <c r="H555" s="34"/>
      <c r="I555" s="34"/>
      <c r="J555" s="34"/>
    </row>
    <row r="556">
      <c r="A556" s="7"/>
      <c r="B556" s="8"/>
      <c r="C556" s="8"/>
      <c r="D556" s="8"/>
      <c r="E556" s="8"/>
      <c r="F556" s="34"/>
      <c r="G556" s="34"/>
      <c r="H556" s="34"/>
      <c r="I556" s="34"/>
      <c r="J556" s="34"/>
    </row>
    <row r="557">
      <c r="A557" s="7"/>
      <c r="B557" s="8"/>
      <c r="C557" s="8"/>
      <c r="D557" s="8"/>
      <c r="E557" s="8"/>
      <c r="F557" s="34"/>
      <c r="G557" s="34"/>
      <c r="H557" s="34"/>
      <c r="I557" s="34"/>
      <c r="J557" s="34"/>
    </row>
    <row r="558">
      <c r="A558" s="7"/>
      <c r="B558" s="8"/>
      <c r="C558" s="8"/>
      <c r="D558" s="8"/>
      <c r="E558" s="8"/>
      <c r="F558" s="34"/>
      <c r="G558" s="34"/>
      <c r="H558" s="34"/>
      <c r="I558" s="34"/>
      <c r="J558" s="34"/>
    </row>
    <row r="559">
      <c r="A559" s="7"/>
      <c r="B559" s="8"/>
      <c r="C559" s="8"/>
      <c r="D559" s="8"/>
      <c r="E559" s="8"/>
      <c r="F559" s="34"/>
      <c r="G559" s="34"/>
      <c r="H559" s="34"/>
      <c r="I559" s="34"/>
      <c r="J559" s="34"/>
    </row>
    <row r="560">
      <c r="A560" s="7"/>
      <c r="B560" s="8"/>
      <c r="C560" s="8"/>
      <c r="D560" s="8"/>
      <c r="E560" s="8"/>
      <c r="F560" s="34"/>
      <c r="G560" s="34"/>
      <c r="H560" s="34"/>
      <c r="I560" s="34"/>
      <c r="J560" s="34"/>
    </row>
    <row r="561">
      <c r="A561" s="7"/>
      <c r="B561" s="8"/>
      <c r="C561" s="8"/>
      <c r="D561" s="8"/>
      <c r="E561" s="8"/>
      <c r="F561" s="34"/>
      <c r="G561" s="34"/>
      <c r="H561" s="34"/>
      <c r="I561" s="34"/>
      <c r="J561" s="34"/>
    </row>
    <row r="562">
      <c r="A562" s="7"/>
      <c r="B562" s="8"/>
      <c r="C562" s="8"/>
      <c r="D562" s="8"/>
      <c r="E562" s="8"/>
      <c r="F562" s="34"/>
      <c r="G562" s="34"/>
      <c r="H562" s="34"/>
      <c r="I562" s="34"/>
      <c r="J562" s="34"/>
    </row>
    <row r="563">
      <c r="A563" s="7"/>
      <c r="B563" s="8"/>
      <c r="C563" s="8"/>
      <c r="D563" s="8"/>
      <c r="E563" s="8"/>
      <c r="F563" s="34"/>
      <c r="G563" s="34"/>
      <c r="H563" s="34"/>
      <c r="I563" s="34"/>
      <c r="J563" s="34"/>
    </row>
    <row r="564">
      <c r="A564" s="7"/>
      <c r="B564" s="8"/>
      <c r="C564" s="8"/>
      <c r="D564" s="8"/>
      <c r="E564" s="8"/>
      <c r="F564" s="34"/>
      <c r="G564" s="34"/>
      <c r="H564" s="34"/>
      <c r="I564" s="34"/>
      <c r="J564" s="34"/>
    </row>
    <row r="565">
      <c r="A565" s="7"/>
      <c r="B565" s="8"/>
      <c r="C565" s="8"/>
      <c r="D565" s="8"/>
      <c r="E565" s="8"/>
      <c r="F565" s="34"/>
      <c r="G565" s="34"/>
      <c r="H565" s="34"/>
      <c r="I565" s="34"/>
      <c r="J565" s="34"/>
    </row>
    <row r="566">
      <c r="A566" s="7"/>
      <c r="B566" s="8"/>
      <c r="C566" s="8"/>
      <c r="D566" s="8"/>
      <c r="E566" s="8"/>
      <c r="F566" s="34"/>
      <c r="G566" s="34"/>
      <c r="H566" s="34"/>
      <c r="I566" s="34"/>
      <c r="J566" s="34"/>
    </row>
    <row r="567">
      <c r="A567" s="7"/>
      <c r="B567" s="8"/>
      <c r="C567" s="8"/>
      <c r="D567" s="8"/>
      <c r="E567" s="8"/>
      <c r="F567" s="34"/>
      <c r="G567" s="34"/>
      <c r="H567" s="34"/>
      <c r="I567" s="34"/>
      <c r="J567" s="34"/>
    </row>
    <row r="568">
      <c r="A568" s="7"/>
      <c r="B568" s="8"/>
      <c r="C568" s="8"/>
      <c r="D568" s="8"/>
      <c r="E568" s="8"/>
      <c r="F568" s="34"/>
      <c r="G568" s="34"/>
      <c r="H568" s="34"/>
      <c r="I568" s="34"/>
      <c r="J568" s="34"/>
    </row>
    <row r="569">
      <c r="A569" s="7"/>
      <c r="B569" s="8"/>
      <c r="C569" s="8"/>
      <c r="D569" s="8"/>
      <c r="E569" s="8"/>
      <c r="F569" s="34"/>
      <c r="G569" s="34"/>
      <c r="H569" s="34"/>
      <c r="I569" s="34"/>
      <c r="J569" s="34"/>
    </row>
    <row r="570">
      <c r="A570" s="7"/>
      <c r="B570" s="8"/>
      <c r="C570" s="8"/>
      <c r="D570" s="8"/>
      <c r="E570" s="8"/>
      <c r="F570" s="34"/>
      <c r="G570" s="34"/>
      <c r="H570" s="34"/>
      <c r="I570" s="34"/>
      <c r="J570" s="34"/>
    </row>
    <row r="571">
      <c r="A571" s="7"/>
      <c r="B571" s="8"/>
      <c r="C571" s="8"/>
      <c r="D571" s="8"/>
      <c r="E571" s="8"/>
      <c r="F571" s="34"/>
      <c r="G571" s="34"/>
      <c r="H571" s="34"/>
      <c r="I571" s="34"/>
      <c r="J571" s="34"/>
    </row>
    <row r="572">
      <c r="A572" s="7"/>
      <c r="B572" s="8"/>
      <c r="C572" s="8"/>
      <c r="D572" s="8"/>
      <c r="E572" s="8"/>
      <c r="F572" s="34"/>
      <c r="G572" s="34"/>
      <c r="H572" s="34"/>
      <c r="I572" s="34"/>
      <c r="J572" s="34"/>
    </row>
    <row r="573">
      <c r="A573" s="7"/>
      <c r="B573" s="8"/>
      <c r="C573" s="8"/>
      <c r="D573" s="8"/>
      <c r="E573" s="8"/>
      <c r="F573" s="34"/>
      <c r="G573" s="34"/>
      <c r="H573" s="34"/>
      <c r="I573" s="34"/>
      <c r="J573" s="34"/>
    </row>
    <row r="574">
      <c r="A574" s="7"/>
      <c r="B574" s="8"/>
      <c r="C574" s="8"/>
      <c r="D574" s="8"/>
      <c r="E574" s="8"/>
      <c r="F574" s="34"/>
      <c r="G574" s="34"/>
      <c r="H574" s="34"/>
      <c r="I574" s="34"/>
      <c r="J574" s="34"/>
    </row>
    <row r="575">
      <c r="A575" s="7"/>
      <c r="B575" s="8"/>
      <c r="C575" s="8"/>
      <c r="D575" s="8"/>
      <c r="E575" s="8"/>
      <c r="F575" s="34"/>
      <c r="G575" s="34"/>
      <c r="H575" s="34"/>
      <c r="I575" s="34"/>
      <c r="J575" s="34"/>
    </row>
    <row r="576">
      <c r="A576" s="7"/>
      <c r="B576" s="8"/>
      <c r="C576" s="8"/>
      <c r="D576" s="8"/>
      <c r="E576" s="8"/>
      <c r="F576" s="34"/>
      <c r="G576" s="34"/>
      <c r="H576" s="34"/>
      <c r="I576" s="34"/>
      <c r="J576" s="34"/>
    </row>
    <row r="577">
      <c r="A577" s="7"/>
      <c r="B577" s="8"/>
      <c r="C577" s="8"/>
      <c r="D577" s="8"/>
      <c r="E577" s="8"/>
      <c r="F577" s="34"/>
      <c r="G577" s="34"/>
      <c r="H577" s="34"/>
      <c r="I577" s="34"/>
      <c r="J577" s="34"/>
    </row>
    <row r="578">
      <c r="A578" s="7"/>
      <c r="B578" s="8"/>
      <c r="C578" s="8"/>
      <c r="D578" s="8"/>
      <c r="E578" s="8"/>
      <c r="F578" s="34"/>
      <c r="G578" s="34"/>
      <c r="H578" s="34"/>
      <c r="I578" s="34"/>
      <c r="J578" s="34"/>
    </row>
    <row r="579">
      <c r="A579" s="7"/>
      <c r="B579" s="8"/>
      <c r="C579" s="8"/>
      <c r="D579" s="8"/>
      <c r="E579" s="8"/>
      <c r="F579" s="34"/>
      <c r="G579" s="34"/>
      <c r="H579" s="34"/>
      <c r="I579" s="34"/>
      <c r="J579" s="34"/>
    </row>
    <row r="580">
      <c r="A580" s="7"/>
      <c r="B580" s="8"/>
      <c r="C580" s="8"/>
      <c r="D580" s="8"/>
      <c r="E580" s="8"/>
      <c r="F580" s="34"/>
      <c r="G580" s="34"/>
      <c r="H580" s="34"/>
      <c r="I580" s="34"/>
      <c r="J580" s="34"/>
    </row>
    <row r="581">
      <c r="A581" s="7"/>
      <c r="B581" s="8"/>
      <c r="C581" s="8"/>
      <c r="D581" s="8"/>
      <c r="E581" s="8"/>
      <c r="F581" s="34"/>
      <c r="G581" s="34"/>
      <c r="H581" s="34"/>
      <c r="I581" s="34"/>
      <c r="J581" s="34"/>
    </row>
    <row r="582">
      <c r="A582" s="7"/>
      <c r="B582" s="8"/>
      <c r="C582" s="8"/>
      <c r="D582" s="8"/>
      <c r="E582" s="8"/>
      <c r="F582" s="34"/>
      <c r="G582" s="34"/>
      <c r="H582" s="34"/>
      <c r="I582" s="34"/>
      <c r="J582" s="34"/>
    </row>
    <row r="583">
      <c r="A583" s="7"/>
      <c r="B583" s="8"/>
      <c r="C583" s="8"/>
      <c r="D583" s="8"/>
      <c r="E583" s="8"/>
      <c r="F583" s="34"/>
      <c r="G583" s="34"/>
      <c r="H583" s="34"/>
      <c r="I583" s="34"/>
      <c r="J583" s="34"/>
    </row>
    <row r="584">
      <c r="A584" s="7"/>
      <c r="B584" s="8"/>
      <c r="C584" s="8"/>
      <c r="D584" s="8"/>
      <c r="E584" s="8"/>
      <c r="F584" s="34"/>
      <c r="G584" s="34"/>
      <c r="H584" s="34"/>
      <c r="I584" s="34"/>
      <c r="J584" s="34"/>
    </row>
    <row r="585">
      <c r="A585" s="7"/>
      <c r="B585" s="8"/>
      <c r="C585" s="8"/>
      <c r="D585" s="8"/>
      <c r="E585" s="8"/>
      <c r="F585" s="34"/>
      <c r="G585" s="34"/>
      <c r="H585" s="34"/>
      <c r="I585" s="34"/>
      <c r="J585" s="34"/>
    </row>
    <row r="586">
      <c r="A586" s="7"/>
      <c r="B586" s="8"/>
      <c r="C586" s="8"/>
      <c r="D586" s="8"/>
      <c r="E586" s="8"/>
      <c r="F586" s="34"/>
      <c r="G586" s="34"/>
      <c r="H586" s="34"/>
      <c r="I586" s="34"/>
      <c r="J586" s="34"/>
    </row>
    <row r="587">
      <c r="A587" s="7"/>
      <c r="B587" s="8"/>
      <c r="C587" s="8"/>
      <c r="D587" s="8"/>
      <c r="E587" s="8"/>
      <c r="F587" s="34"/>
      <c r="G587" s="34"/>
      <c r="H587" s="34"/>
      <c r="I587" s="34"/>
      <c r="J587" s="34"/>
    </row>
    <row r="588">
      <c r="A588" s="7"/>
      <c r="B588" s="8"/>
      <c r="C588" s="8"/>
      <c r="D588" s="8"/>
      <c r="E588" s="8"/>
      <c r="F588" s="34"/>
      <c r="G588" s="34"/>
      <c r="H588" s="34"/>
      <c r="I588" s="34"/>
      <c r="J588" s="34"/>
    </row>
    <row r="589">
      <c r="A589" s="7"/>
      <c r="B589" s="8"/>
      <c r="C589" s="8"/>
      <c r="D589" s="8"/>
      <c r="E589" s="8"/>
      <c r="F589" s="34"/>
      <c r="G589" s="34"/>
      <c r="H589" s="34"/>
      <c r="I589" s="34"/>
      <c r="J589" s="34"/>
    </row>
    <row r="590">
      <c r="A590" s="7"/>
      <c r="B590" s="8"/>
      <c r="C590" s="8"/>
      <c r="D590" s="8"/>
      <c r="E590" s="8"/>
      <c r="F590" s="34"/>
      <c r="G590" s="34"/>
      <c r="H590" s="34"/>
      <c r="I590" s="34"/>
      <c r="J590" s="34"/>
    </row>
    <row r="591">
      <c r="A591" s="7"/>
      <c r="B591" s="8"/>
      <c r="C591" s="8"/>
      <c r="D591" s="8"/>
      <c r="E591" s="8"/>
      <c r="F591" s="34"/>
      <c r="G591" s="34"/>
      <c r="H591" s="34"/>
      <c r="I591" s="34"/>
      <c r="J591" s="34"/>
    </row>
    <row r="592">
      <c r="A592" s="7"/>
      <c r="B592" s="8"/>
      <c r="C592" s="8"/>
      <c r="D592" s="8"/>
      <c r="E592" s="8"/>
      <c r="F592" s="34"/>
      <c r="G592" s="34"/>
      <c r="H592" s="34"/>
      <c r="I592" s="34"/>
      <c r="J592" s="34"/>
    </row>
    <row r="593">
      <c r="A593" s="7"/>
      <c r="B593" s="8"/>
      <c r="C593" s="8"/>
      <c r="D593" s="8"/>
      <c r="E593" s="8"/>
      <c r="F593" s="34"/>
      <c r="G593" s="34"/>
      <c r="H593" s="34"/>
      <c r="I593" s="34"/>
      <c r="J593" s="34"/>
    </row>
    <row r="594">
      <c r="A594" s="7"/>
      <c r="B594" s="8"/>
      <c r="C594" s="8"/>
      <c r="D594" s="8"/>
      <c r="E594" s="8"/>
      <c r="F594" s="34"/>
      <c r="G594" s="34"/>
      <c r="H594" s="34"/>
      <c r="I594" s="34"/>
      <c r="J594" s="34"/>
    </row>
    <row r="595">
      <c r="A595" s="7"/>
      <c r="B595" s="8"/>
      <c r="C595" s="8"/>
      <c r="D595" s="8"/>
      <c r="E595" s="8"/>
      <c r="F595" s="34"/>
      <c r="G595" s="34"/>
      <c r="H595" s="34"/>
      <c r="I595" s="34"/>
      <c r="J595" s="34"/>
    </row>
    <row r="596">
      <c r="A596" s="7"/>
      <c r="B596" s="8"/>
      <c r="C596" s="8"/>
      <c r="D596" s="8"/>
      <c r="E596" s="8"/>
      <c r="F596" s="34"/>
      <c r="G596" s="34"/>
      <c r="H596" s="34"/>
      <c r="I596" s="34"/>
      <c r="J596" s="34"/>
    </row>
    <row r="597">
      <c r="A597" s="7"/>
      <c r="B597" s="8"/>
      <c r="C597" s="8"/>
      <c r="D597" s="8"/>
      <c r="E597" s="8"/>
      <c r="F597" s="34"/>
      <c r="G597" s="34"/>
      <c r="H597" s="34"/>
      <c r="I597" s="34"/>
      <c r="J597" s="34"/>
    </row>
    <row r="598">
      <c r="A598" s="7"/>
      <c r="B598" s="8"/>
      <c r="C598" s="8"/>
      <c r="D598" s="8"/>
      <c r="E598" s="8"/>
      <c r="F598" s="34"/>
      <c r="G598" s="34"/>
      <c r="H598" s="34"/>
      <c r="I598" s="34"/>
      <c r="J598" s="34"/>
    </row>
    <row r="599">
      <c r="A599" s="7"/>
      <c r="B599" s="8"/>
      <c r="C599" s="8"/>
      <c r="D599" s="8"/>
      <c r="E599" s="8"/>
      <c r="F599" s="34"/>
      <c r="G599" s="34"/>
      <c r="H599" s="34"/>
      <c r="I599" s="34"/>
      <c r="J599" s="34"/>
    </row>
    <row r="600">
      <c r="A600" s="7"/>
      <c r="B600" s="8"/>
      <c r="C600" s="8"/>
      <c r="D600" s="8"/>
      <c r="E600" s="8"/>
      <c r="F600" s="34"/>
      <c r="G600" s="34"/>
      <c r="H600" s="34"/>
      <c r="I600" s="34"/>
      <c r="J600" s="34"/>
    </row>
    <row r="601">
      <c r="A601" s="7"/>
      <c r="B601" s="8"/>
      <c r="C601" s="8"/>
      <c r="D601" s="8"/>
      <c r="E601" s="8"/>
      <c r="F601" s="34"/>
      <c r="G601" s="34"/>
      <c r="H601" s="34"/>
      <c r="I601" s="34"/>
      <c r="J601" s="34"/>
    </row>
    <row r="602">
      <c r="A602" s="7"/>
      <c r="B602" s="8"/>
      <c r="C602" s="8"/>
      <c r="D602" s="8"/>
      <c r="E602" s="8"/>
      <c r="F602" s="34"/>
      <c r="G602" s="34"/>
      <c r="H602" s="34"/>
      <c r="I602" s="34"/>
      <c r="J602" s="34"/>
    </row>
    <row r="603">
      <c r="A603" s="7"/>
      <c r="B603" s="8"/>
      <c r="C603" s="8"/>
      <c r="D603" s="8"/>
      <c r="E603" s="8"/>
      <c r="F603" s="34"/>
      <c r="G603" s="34"/>
      <c r="H603" s="34"/>
      <c r="I603" s="34"/>
      <c r="J603" s="34"/>
    </row>
    <row r="604">
      <c r="A604" s="7"/>
      <c r="B604" s="8"/>
      <c r="C604" s="8"/>
      <c r="D604" s="8"/>
      <c r="E604" s="8"/>
      <c r="F604" s="34"/>
      <c r="G604" s="34"/>
      <c r="H604" s="34"/>
      <c r="I604" s="34"/>
      <c r="J604" s="34"/>
    </row>
    <row r="605">
      <c r="A605" s="7"/>
      <c r="B605" s="8"/>
      <c r="C605" s="8"/>
      <c r="D605" s="8"/>
      <c r="E605" s="8"/>
      <c r="F605" s="34"/>
      <c r="G605" s="34"/>
      <c r="H605" s="34"/>
      <c r="I605" s="34"/>
      <c r="J605" s="34"/>
    </row>
    <row r="606">
      <c r="A606" s="7"/>
      <c r="B606" s="8"/>
      <c r="C606" s="8"/>
      <c r="D606" s="8"/>
      <c r="E606" s="8"/>
      <c r="F606" s="34"/>
      <c r="G606" s="34"/>
      <c r="H606" s="34"/>
      <c r="I606" s="34"/>
      <c r="J606" s="34"/>
    </row>
    <row r="607">
      <c r="A607" s="7"/>
      <c r="B607" s="8"/>
      <c r="C607" s="8"/>
      <c r="D607" s="8"/>
      <c r="E607" s="8"/>
      <c r="F607" s="34"/>
      <c r="G607" s="34"/>
      <c r="H607" s="34"/>
      <c r="I607" s="34"/>
      <c r="J607" s="34"/>
    </row>
    <row r="608">
      <c r="A608" s="7"/>
      <c r="B608" s="8"/>
      <c r="C608" s="8"/>
      <c r="D608" s="8"/>
      <c r="E608" s="8"/>
      <c r="F608" s="34"/>
      <c r="G608" s="34"/>
      <c r="H608" s="34"/>
      <c r="I608" s="34"/>
      <c r="J608" s="34"/>
    </row>
    <row r="609">
      <c r="A609" s="7"/>
      <c r="B609" s="8"/>
      <c r="C609" s="8"/>
      <c r="D609" s="8"/>
      <c r="E609" s="8"/>
      <c r="F609" s="34"/>
      <c r="G609" s="34"/>
      <c r="H609" s="34"/>
      <c r="I609" s="34"/>
      <c r="J609" s="34"/>
    </row>
    <row r="610">
      <c r="A610" s="7"/>
      <c r="B610" s="8"/>
      <c r="C610" s="8"/>
      <c r="D610" s="8"/>
      <c r="E610" s="8"/>
      <c r="F610" s="34"/>
      <c r="G610" s="34"/>
      <c r="H610" s="34"/>
      <c r="I610" s="34"/>
      <c r="J610" s="34"/>
    </row>
    <row r="611">
      <c r="A611" s="7"/>
      <c r="B611" s="8"/>
      <c r="C611" s="8"/>
      <c r="D611" s="8"/>
      <c r="E611" s="8"/>
      <c r="F611" s="34"/>
      <c r="G611" s="34"/>
      <c r="H611" s="34"/>
      <c r="I611" s="34"/>
      <c r="J611" s="34"/>
    </row>
    <row r="612">
      <c r="A612" s="7"/>
      <c r="B612" s="8"/>
      <c r="C612" s="8"/>
      <c r="D612" s="8"/>
      <c r="E612" s="8"/>
      <c r="F612" s="34"/>
      <c r="G612" s="34"/>
      <c r="H612" s="34"/>
      <c r="I612" s="34"/>
      <c r="J612" s="34"/>
    </row>
    <row r="613">
      <c r="A613" s="7"/>
      <c r="B613" s="8"/>
      <c r="C613" s="8"/>
      <c r="D613" s="8"/>
      <c r="E613" s="8"/>
      <c r="F613" s="34"/>
      <c r="G613" s="34"/>
      <c r="H613" s="34"/>
      <c r="I613" s="34"/>
      <c r="J613" s="34"/>
    </row>
    <row r="614">
      <c r="A614" s="7"/>
      <c r="B614" s="8"/>
      <c r="C614" s="8"/>
      <c r="D614" s="8"/>
      <c r="E614" s="8"/>
      <c r="F614" s="34"/>
      <c r="G614" s="34"/>
      <c r="H614" s="34"/>
      <c r="I614" s="34"/>
      <c r="J614" s="34"/>
    </row>
    <row r="615">
      <c r="A615" s="7"/>
      <c r="B615" s="8"/>
      <c r="C615" s="8"/>
      <c r="D615" s="8"/>
      <c r="E615" s="8"/>
      <c r="F615" s="34"/>
      <c r="G615" s="34"/>
      <c r="H615" s="34"/>
      <c r="I615" s="34"/>
      <c r="J615" s="34"/>
    </row>
    <row r="616">
      <c r="A616" s="7"/>
      <c r="B616" s="8"/>
      <c r="C616" s="8"/>
      <c r="D616" s="8"/>
      <c r="E616" s="8"/>
      <c r="F616" s="34"/>
      <c r="G616" s="34"/>
      <c r="H616" s="34"/>
      <c r="I616" s="34"/>
      <c r="J616" s="34"/>
    </row>
    <row r="617">
      <c r="A617" s="7"/>
      <c r="B617" s="8"/>
      <c r="C617" s="8"/>
      <c r="D617" s="8"/>
      <c r="E617" s="8"/>
      <c r="F617" s="34"/>
      <c r="G617" s="34"/>
      <c r="H617" s="34"/>
      <c r="I617" s="34"/>
      <c r="J617" s="34"/>
    </row>
    <row r="618">
      <c r="A618" s="7"/>
      <c r="B618" s="8"/>
      <c r="C618" s="8"/>
      <c r="D618" s="8"/>
      <c r="E618" s="8"/>
      <c r="F618" s="34"/>
      <c r="G618" s="34"/>
      <c r="H618" s="34"/>
      <c r="I618" s="34"/>
      <c r="J618" s="34"/>
    </row>
    <row r="619">
      <c r="A619" s="7"/>
      <c r="B619" s="8"/>
      <c r="C619" s="8"/>
      <c r="D619" s="8"/>
      <c r="E619" s="8"/>
      <c r="F619" s="34"/>
      <c r="G619" s="34"/>
      <c r="H619" s="34"/>
      <c r="I619" s="34"/>
      <c r="J619" s="34"/>
    </row>
    <row r="620">
      <c r="A620" s="7"/>
      <c r="B620" s="8"/>
      <c r="C620" s="8"/>
      <c r="D620" s="8"/>
      <c r="E620" s="8"/>
      <c r="F620" s="34"/>
      <c r="G620" s="34"/>
      <c r="H620" s="34"/>
      <c r="I620" s="34"/>
      <c r="J620" s="34"/>
    </row>
    <row r="621">
      <c r="A621" s="7"/>
      <c r="B621" s="8"/>
      <c r="C621" s="8"/>
      <c r="D621" s="8"/>
      <c r="E621" s="8"/>
      <c r="F621" s="34"/>
      <c r="G621" s="34"/>
      <c r="H621" s="34"/>
      <c r="I621" s="34"/>
      <c r="J621" s="34"/>
    </row>
    <row r="622">
      <c r="A622" s="7"/>
      <c r="B622" s="8"/>
      <c r="C622" s="8"/>
      <c r="D622" s="8"/>
      <c r="E622" s="8"/>
      <c r="F622" s="34"/>
      <c r="G622" s="34"/>
      <c r="H622" s="34"/>
      <c r="I622" s="34"/>
      <c r="J622" s="34"/>
    </row>
    <row r="623">
      <c r="A623" s="7"/>
      <c r="B623" s="8"/>
      <c r="C623" s="8"/>
      <c r="D623" s="8"/>
      <c r="E623" s="8"/>
      <c r="F623" s="34"/>
      <c r="G623" s="34"/>
      <c r="H623" s="34"/>
      <c r="I623" s="34"/>
      <c r="J623" s="34"/>
    </row>
    <row r="624">
      <c r="A624" s="7"/>
      <c r="B624" s="8"/>
      <c r="C624" s="8"/>
      <c r="D624" s="8"/>
      <c r="E624" s="8"/>
      <c r="F624" s="34"/>
      <c r="G624" s="34"/>
      <c r="H624" s="34"/>
      <c r="I624" s="34"/>
      <c r="J624" s="34"/>
    </row>
    <row r="625">
      <c r="A625" s="7"/>
      <c r="B625" s="8"/>
      <c r="C625" s="8"/>
      <c r="D625" s="8"/>
      <c r="E625" s="8"/>
      <c r="F625" s="34"/>
      <c r="G625" s="34"/>
      <c r="H625" s="34"/>
      <c r="I625" s="34"/>
      <c r="J625" s="34"/>
    </row>
    <row r="626">
      <c r="A626" s="7"/>
      <c r="B626" s="8"/>
      <c r="C626" s="8"/>
      <c r="D626" s="8"/>
      <c r="E626" s="8"/>
      <c r="F626" s="34"/>
      <c r="G626" s="34"/>
      <c r="H626" s="34"/>
      <c r="I626" s="34"/>
      <c r="J626" s="34"/>
    </row>
    <row r="627">
      <c r="A627" s="7"/>
      <c r="B627" s="8"/>
      <c r="C627" s="8"/>
      <c r="D627" s="8"/>
      <c r="E627" s="8"/>
      <c r="F627" s="34"/>
      <c r="G627" s="34"/>
      <c r="H627" s="34"/>
      <c r="I627" s="34"/>
      <c r="J627" s="34"/>
    </row>
    <row r="628">
      <c r="A628" s="7"/>
      <c r="B628" s="8"/>
      <c r="C628" s="8"/>
      <c r="D628" s="8"/>
      <c r="E628" s="8"/>
      <c r="F628" s="34"/>
      <c r="G628" s="34"/>
      <c r="H628" s="34"/>
      <c r="I628" s="34"/>
      <c r="J628" s="34"/>
    </row>
    <row r="629">
      <c r="A629" s="7"/>
      <c r="B629" s="8"/>
      <c r="C629" s="8"/>
      <c r="D629" s="8"/>
      <c r="E629" s="8"/>
      <c r="F629" s="34"/>
      <c r="G629" s="34"/>
      <c r="H629" s="34"/>
      <c r="I629" s="34"/>
      <c r="J629" s="34"/>
    </row>
    <row r="630">
      <c r="A630" s="7"/>
      <c r="B630" s="8"/>
      <c r="C630" s="8"/>
      <c r="D630" s="8"/>
      <c r="E630" s="8"/>
      <c r="F630" s="34"/>
      <c r="G630" s="34"/>
      <c r="H630" s="34"/>
      <c r="I630" s="34"/>
      <c r="J630" s="34"/>
    </row>
    <row r="631">
      <c r="A631" s="7"/>
      <c r="B631" s="8"/>
      <c r="C631" s="8"/>
      <c r="D631" s="8"/>
      <c r="E631" s="8"/>
      <c r="F631" s="34"/>
      <c r="G631" s="34"/>
      <c r="H631" s="34"/>
      <c r="I631" s="34"/>
      <c r="J631" s="34"/>
    </row>
    <row r="632">
      <c r="A632" s="7"/>
      <c r="B632" s="8"/>
      <c r="C632" s="8"/>
      <c r="D632" s="8"/>
      <c r="E632" s="8"/>
      <c r="F632" s="34"/>
      <c r="G632" s="34"/>
      <c r="H632" s="34"/>
      <c r="I632" s="34"/>
      <c r="J632" s="34"/>
    </row>
    <row r="633">
      <c r="A633" s="7"/>
      <c r="B633" s="8"/>
      <c r="C633" s="8"/>
      <c r="D633" s="8"/>
      <c r="E633" s="8"/>
      <c r="F633" s="34"/>
      <c r="G633" s="34"/>
      <c r="H633" s="34"/>
      <c r="I633" s="34"/>
      <c r="J633" s="34"/>
    </row>
    <row r="634">
      <c r="A634" s="7"/>
      <c r="B634" s="8"/>
      <c r="C634" s="8"/>
      <c r="D634" s="8"/>
      <c r="E634" s="8"/>
      <c r="F634" s="34"/>
      <c r="G634" s="34"/>
      <c r="H634" s="34"/>
      <c r="I634" s="34"/>
      <c r="J634" s="34"/>
    </row>
    <row r="635">
      <c r="A635" s="7"/>
      <c r="B635" s="8"/>
      <c r="C635" s="8"/>
      <c r="D635" s="8"/>
      <c r="E635" s="8"/>
      <c r="F635" s="34"/>
      <c r="G635" s="34"/>
      <c r="H635" s="34"/>
      <c r="I635" s="34"/>
      <c r="J635" s="34"/>
    </row>
    <row r="636">
      <c r="A636" s="7"/>
      <c r="B636" s="8"/>
      <c r="C636" s="8"/>
      <c r="D636" s="8"/>
      <c r="E636" s="8"/>
      <c r="F636" s="34"/>
      <c r="G636" s="34"/>
      <c r="H636" s="34"/>
      <c r="I636" s="34"/>
      <c r="J636" s="34"/>
    </row>
    <row r="637">
      <c r="A637" s="7"/>
      <c r="B637" s="8"/>
      <c r="C637" s="8"/>
      <c r="D637" s="8"/>
      <c r="E637" s="8"/>
      <c r="F637" s="34"/>
      <c r="G637" s="34"/>
      <c r="H637" s="34"/>
      <c r="I637" s="34"/>
      <c r="J637" s="34"/>
    </row>
    <row r="638">
      <c r="A638" s="7"/>
      <c r="B638" s="8"/>
      <c r="C638" s="8"/>
      <c r="D638" s="8"/>
      <c r="E638" s="8"/>
      <c r="F638" s="34"/>
      <c r="G638" s="34"/>
      <c r="H638" s="34"/>
      <c r="I638" s="34"/>
      <c r="J638" s="34"/>
    </row>
    <row r="639">
      <c r="A639" s="7"/>
      <c r="B639" s="8"/>
      <c r="C639" s="8"/>
      <c r="D639" s="8"/>
      <c r="E639" s="8"/>
      <c r="F639" s="34"/>
      <c r="G639" s="34"/>
      <c r="H639" s="34"/>
      <c r="I639" s="34"/>
      <c r="J639" s="34"/>
    </row>
    <row r="640">
      <c r="A640" s="7"/>
      <c r="B640" s="8"/>
      <c r="C640" s="8"/>
      <c r="D640" s="8"/>
      <c r="E640" s="8"/>
      <c r="F640" s="34"/>
      <c r="G640" s="34"/>
      <c r="H640" s="34"/>
      <c r="I640" s="34"/>
      <c r="J640" s="34"/>
    </row>
    <row r="641">
      <c r="A641" s="7"/>
      <c r="B641" s="8"/>
      <c r="C641" s="8"/>
      <c r="D641" s="8"/>
      <c r="E641" s="8"/>
      <c r="F641" s="34"/>
      <c r="G641" s="34"/>
      <c r="H641" s="34"/>
      <c r="I641" s="34"/>
      <c r="J641" s="34"/>
    </row>
    <row r="642">
      <c r="A642" s="7"/>
      <c r="B642" s="8"/>
      <c r="C642" s="8"/>
      <c r="D642" s="8"/>
      <c r="E642" s="8"/>
      <c r="F642" s="34"/>
      <c r="G642" s="34"/>
      <c r="H642" s="34"/>
      <c r="I642" s="34"/>
      <c r="J642" s="34"/>
    </row>
    <row r="643">
      <c r="A643" s="7"/>
      <c r="B643" s="8"/>
      <c r="C643" s="8"/>
      <c r="D643" s="8"/>
      <c r="E643" s="8"/>
      <c r="F643" s="34"/>
      <c r="G643" s="34"/>
      <c r="H643" s="34"/>
      <c r="I643" s="34"/>
      <c r="J643" s="34"/>
    </row>
    <row r="644">
      <c r="A644" s="7"/>
      <c r="B644" s="8"/>
      <c r="C644" s="8"/>
      <c r="D644" s="8"/>
      <c r="E644" s="8"/>
      <c r="F644" s="34"/>
      <c r="G644" s="34"/>
      <c r="H644" s="34"/>
      <c r="I644" s="34"/>
      <c r="J644" s="34"/>
    </row>
    <row r="645">
      <c r="A645" s="7"/>
      <c r="B645" s="8"/>
      <c r="C645" s="8"/>
      <c r="D645" s="8"/>
      <c r="E645" s="8"/>
      <c r="F645" s="34"/>
      <c r="G645" s="34"/>
      <c r="H645" s="34"/>
      <c r="I645" s="34"/>
      <c r="J645" s="34"/>
    </row>
    <row r="646">
      <c r="A646" s="7"/>
      <c r="B646" s="8"/>
      <c r="C646" s="8"/>
      <c r="D646" s="8"/>
      <c r="E646" s="8"/>
      <c r="F646" s="34"/>
      <c r="G646" s="34"/>
      <c r="H646" s="34"/>
      <c r="I646" s="34"/>
      <c r="J646" s="34"/>
    </row>
    <row r="647">
      <c r="A647" s="7"/>
      <c r="B647" s="8"/>
      <c r="C647" s="8"/>
      <c r="D647" s="8"/>
      <c r="E647" s="8"/>
      <c r="F647" s="34"/>
      <c r="G647" s="34"/>
      <c r="H647" s="34"/>
      <c r="I647" s="34"/>
      <c r="J647" s="34"/>
    </row>
    <row r="648">
      <c r="A648" s="7"/>
      <c r="B648" s="8"/>
      <c r="C648" s="8"/>
      <c r="D648" s="8"/>
      <c r="E648" s="8"/>
      <c r="F648" s="34"/>
      <c r="G648" s="34"/>
      <c r="H648" s="34"/>
      <c r="I648" s="34"/>
      <c r="J648" s="34"/>
    </row>
    <row r="649">
      <c r="A649" s="7"/>
      <c r="B649" s="8"/>
      <c r="C649" s="8"/>
      <c r="D649" s="8"/>
      <c r="E649" s="8"/>
      <c r="F649" s="34"/>
      <c r="G649" s="34"/>
      <c r="H649" s="34"/>
      <c r="I649" s="34"/>
      <c r="J649" s="34"/>
    </row>
    <row r="650">
      <c r="A650" s="7"/>
      <c r="B650" s="8"/>
      <c r="C650" s="8"/>
      <c r="D650" s="8"/>
      <c r="E650" s="8"/>
      <c r="F650" s="34"/>
      <c r="G650" s="34"/>
      <c r="H650" s="34"/>
      <c r="I650" s="34"/>
      <c r="J650" s="34"/>
    </row>
    <row r="651">
      <c r="A651" s="7"/>
      <c r="B651" s="8"/>
      <c r="C651" s="8"/>
      <c r="D651" s="8"/>
      <c r="E651" s="8"/>
      <c r="F651" s="34"/>
      <c r="G651" s="34"/>
      <c r="H651" s="34"/>
      <c r="I651" s="34"/>
      <c r="J651" s="34"/>
    </row>
    <row r="652">
      <c r="A652" s="7"/>
      <c r="B652" s="8"/>
      <c r="C652" s="8"/>
      <c r="D652" s="8"/>
      <c r="E652" s="8"/>
      <c r="F652" s="34"/>
      <c r="G652" s="34"/>
      <c r="H652" s="34"/>
      <c r="I652" s="34"/>
      <c r="J652" s="34"/>
    </row>
    <row r="653">
      <c r="A653" s="7"/>
      <c r="B653" s="8"/>
      <c r="C653" s="8"/>
      <c r="D653" s="8"/>
      <c r="E653" s="8"/>
      <c r="F653" s="34"/>
      <c r="G653" s="34"/>
      <c r="H653" s="34"/>
      <c r="I653" s="34"/>
      <c r="J653" s="34"/>
    </row>
    <row r="654">
      <c r="A654" s="7"/>
      <c r="B654" s="8"/>
      <c r="C654" s="8"/>
      <c r="D654" s="8"/>
      <c r="E654" s="8"/>
      <c r="F654" s="34"/>
      <c r="G654" s="34"/>
      <c r="H654" s="34"/>
      <c r="I654" s="34"/>
      <c r="J654" s="34"/>
    </row>
    <row r="655">
      <c r="A655" s="7"/>
      <c r="B655" s="8"/>
      <c r="C655" s="8"/>
      <c r="D655" s="8"/>
      <c r="E655" s="8"/>
      <c r="F655" s="34"/>
      <c r="G655" s="34"/>
      <c r="H655" s="34"/>
      <c r="I655" s="34"/>
      <c r="J655" s="34"/>
    </row>
    <row r="656">
      <c r="A656" s="7"/>
      <c r="B656" s="8"/>
      <c r="C656" s="8"/>
      <c r="D656" s="8"/>
      <c r="E656" s="8"/>
      <c r="F656" s="34"/>
      <c r="G656" s="34"/>
      <c r="H656" s="34"/>
      <c r="I656" s="34"/>
      <c r="J656" s="34"/>
    </row>
    <row r="657">
      <c r="A657" s="7"/>
      <c r="B657" s="8"/>
      <c r="C657" s="8"/>
      <c r="D657" s="8"/>
      <c r="E657" s="8"/>
      <c r="F657" s="34"/>
      <c r="G657" s="34"/>
      <c r="H657" s="34"/>
      <c r="I657" s="34"/>
      <c r="J657" s="34"/>
    </row>
    <row r="658">
      <c r="A658" s="7"/>
      <c r="B658" s="8"/>
      <c r="C658" s="8"/>
      <c r="D658" s="8"/>
      <c r="E658" s="8"/>
      <c r="F658" s="34"/>
      <c r="G658" s="34"/>
      <c r="H658" s="34"/>
      <c r="I658" s="34"/>
      <c r="J658" s="34"/>
    </row>
    <row r="659">
      <c r="A659" s="7"/>
      <c r="B659" s="8"/>
      <c r="C659" s="8"/>
      <c r="D659" s="8"/>
      <c r="E659" s="8"/>
      <c r="F659" s="34"/>
      <c r="G659" s="34"/>
      <c r="H659" s="34"/>
      <c r="I659" s="34"/>
      <c r="J659" s="34"/>
    </row>
    <row r="660">
      <c r="A660" s="7"/>
      <c r="B660" s="8"/>
      <c r="C660" s="8"/>
      <c r="D660" s="8"/>
      <c r="E660" s="8"/>
      <c r="F660" s="34"/>
      <c r="G660" s="34"/>
      <c r="H660" s="34"/>
      <c r="I660" s="34"/>
      <c r="J660" s="34"/>
    </row>
    <row r="661">
      <c r="A661" s="7"/>
      <c r="B661" s="8"/>
      <c r="C661" s="8"/>
      <c r="D661" s="8"/>
      <c r="E661" s="8"/>
      <c r="F661" s="34"/>
      <c r="G661" s="34"/>
      <c r="H661" s="34"/>
      <c r="I661" s="34"/>
      <c r="J661" s="34"/>
    </row>
    <row r="662">
      <c r="A662" s="7"/>
      <c r="B662" s="8"/>
      <c r="C662" s="8"/>
      <c r="D662" s="8"/>
      <c r="E662" s="8"/>
      <c r="F662" s="34"/>
      <c r="G662" s="34"/>
      <c r="H662" s="34"/>
      <c r="I662" s="34"/>
      <c r="J662" s="34"/>
    </row>
    <row r="663">
      <c r="A663" s="7"/>
      <c r="B663" s="8"/>
      <c r="C663" s="8"/>
      <c r="D663" s="8"/>
      <c r="E663" s="8"/>
      <c r="F663" s="34"/>
      <c r="G663" s="34"/>
      <c r="H663" s="34"/>
      <c r="I663" s="34"/>
      <c r="J663" s="34"/>
    </row>
    <row r="664">
      <c r="A664" s="7"/>
      <c r="B664" s="8"/>
      <c r="C664" s="8"/>
      <c r="D664" s="8"/>
      <c r="E664" s="8"/>
      <c r="F664" s="34"/>
      <c r="G664" s="34"/>
      <c r="H664" s="34"/>
      <c r="I664" s="34"/>
      <c r="J664" s="34"/>
    </row>
    <row r="665">
      <c r="A665" s="7"/>
      <c r="B665" s="8"/>
      <c r="C665" s="8"/>
      <c r="D665" s="8"/>
      <c r="E665" s="8"/>
      <c r="F665" s="34"/>
      <c r="G665" s="34"/>
      <c r="H665" s="34"/>
      <c r="I665" s="34"/>
      <c r="J665" s="34"/>
    </row>
    <row r="666">
      <c r="A666" s="7"/>
      <c r="B666" s="8"/>
      <c r="C666" s="8"/>
      <c r="D666" s="8"/>
      <c r="E666" s="8"/>
      <c r="F666" s="34"/>
      <c r="G666" s="34"/>
      <c r="H666" s="34"/>
      <c r="I666" s="34"/>
      <c r="J666" s="34"/>
    </row>
    <row r="667">
      <c r="A667" s="7"/>
      <c r="B667" s="8"/>
      <c r="C667" s="8"/>
      <c r="D667" s="8"/>
      <c r="E667" s="8"/>
      <c r="F667" s="34"/>
      <c r="G667" s="34"/>
      <c r="H667" s="34"/>
      <c r="I667" s="34"/>
      <c r="J667" s="34"/>
    </row>
    <row r="668">
      <c r="A668" s="7"/>
      <c r="B668" s="8"/>
      <c r="C668" s="8"/>
      <c r="D668" s="8"/>
      <c r="E668" s="8"/>
      <c r="F668" s="34"/>
      <c r="G668" s="34"/>
      <c r="H668" s="34"/>
      <c r="I668" s="34"/>
      <c r="J668" s="34"/>
    </row>
    <row r="669">
      <c r="A669" s="7"/>
      <c r="B669" s="8"/>
      <c r="C669" s="8"/>
      <c r="D669" s="8"/>
      <c r="E669" s="8"/>
      <c r="F669" s="34"/>
      <c r="G669" s="34"/>
      <c r="H669" s="34"/>
      <c r="I669" s="34"/>
      <c r="J669" s="34"/>
    </row>
    <row r="670">
      <c r="A670" s="7"/>
      <c r="B670" s="8"/>
      <c r="C670" s="8"/>
      <c r="D670" s="8"/>
      <c r="E670" s="8"/>
      <c r="F670" s="34"/>
      <c r="G670" s="34"/>
      <c r="H670" s="34"/>
      <c r="I670" s="34"/>
      <c r="J670" s="34"/>
    </row>
    <row r="671">
      <c r="A671" s="7"/>
      <c r="B671" s="8"/>
      <c r="C671" s="8"/>
      <c r="D671" s="8"/>
      <c r="E671" s="8"/>
      <c r="F671" s="34"/>
      <c r="G671" s="34"/>
      <c r="H671" s="34"/>
      <c r="I671" s="34"/>
      <c r="J671" s="34"/>
    </row>
    <row r="672">
      <c r="A672" s="7"/>
      <c r="B672" s="8"/>
      <c r="C672" s="8"/>
      <c r="D672" s="8"/>
      <c r="E672" s="8"/>
      <c r="F672" s="34"/>
      <c r="G672" s="34"/>
      <c r="H672" s="34"/>
      <c r="I672" s="34"/>
      <c r="J672" s="34"/>
    </row>
    <row r="673">
      <c r="A673" s="7"/>
      <c r="B673" s="8"/>
      <c r="C673" s="8"/>
      <c r="D673" s="8"/>
      <c r="E673" s="8"/>
      <c r="F673" s="34"/>
      <c r="G673" s="34"/>
      <c r="H673" s="34"/>
      <c r="I673" s="34"/>
      <c r="J673" s="34"/>
    </row>
    <row r="674">
      <c r="A674" s="7"/>
      <c r="B674" s="8"/>
      <c r="C674" s="8"/>
      <c r="D674" s="8"/>
      <c r="E674" s="8"/>
      <c r="F674" s="34"/>
      <c r="G674" s="34"/>
      <c r="H674" s="34"/>
      <c r="I674" s="34"/>
      <c r="J674" s="34"/>
    </row>
    <row r="675">
      <c r="A675" s="7"/>
      <c r="B675" s="8"/>
      <c r="C675" s="8"/>
      <c r="D675" s="8"/>
      <c r="E675" s="8"/>
      <c r="F675" s="34"/>
      <c r="G675" s="34"/>
      <c r="H675" s="34"/>
      <c r="I675" s="34"/>
      <c r="J675" s="34"/>
    </row>
    <row r="676">
      <c r="A676" s="7"/>
      <c r="B676" s="8"/>
      <c r="C676" s="8"/>
      <c r="D676" s="8"/>
      <c r="E676" s="8"/>
      <c r="F676" s="34"/>
      <c r="G676" s="34"/>
      <c r="H676" s="34"/>
      <c r="I676" s="34"/>
      <c r="J676" s="34"/>
    </row>
    <row r="677">
      <c r="A677" s="7"/>
      <c r="B677" s="8"/>
      <c r="C677" s="8"/>
      <c r="D677" s="8"/>
      <c r="E677" s="8"/>
      <c r="F677" s="34"/>
      <c r="G677" s="34"/>
      <c r="H677" s="34"/>
      <c r="I677" s="34"/>
      <c r="J677" s="34"/>
    </row>
    <row r="678">
      <c r="A678" s="7"/>
      <c r="B678" s="8"/>
      <c r="C678" s="8"/>
      <c r="D678" s="8"/>
      <c r="E678" s="8"/>
      <c r="F678" s="34"/>
      <c r="G678" s="34"/>
      <c r="H678" s="34"/>
      <c r="I678" s="34"/>
      <c r="J678" s="34"/>
    </row>
    <row r="679">
      <c r="A679" s="7"/>
      <c r="B679" s="8"/>
      <c r="C679" s="8"/>
      <c r="D679" s="8"/>
      <c r="E679" s="8"/>
      <c r="F679" s="34"/>
      <c r="G679" s="34"/>
      <c r="H679" s="34"/>
      <c r="I679" s="34"/>
      <c r="J679" s="34"/>
    </row>
    <row r="680">
      <c r="A680" s="7"/>
      <c r="B680" s="8"/>
      <c r="C680" s="8"/>
      <c r="D680" s="8"/>
      <c r="E680" s="8"/>
      <c r="F680" s="34"/>
      <c r="G680" s="34"/>
      <c r="H680" s="34"/>
      <c r="I680" s="34"/>
      <c r="J680" s="34"/>
    </row>
    <row r="681">
      <c r="A681" s="7"/>
      <c r="B681" s="8"/>
      <c r="C681" s="8"/>
      <c r="D681" s="8"/>
      <c r="E681" s="8"/>
      <c r="F681" s="34"/>
      <c r="G681" s="34"/>
      <c r="H681" s="34"/>
      <c r="I681" s="34"/>
      <c r="J681" s="34"/>
    </row>
    <row r="682">
      <c r="A682" s="7"/>
      <c r="B682" s="8"/>
      <c r="C682" s="8"/>
      <c r="D682" s="8"/>
      <c r="E682" s="8"/>
      <c r="F682" s="34"/>
      <c r="G682" s="34"/>
      <c r="H682" s="34"/>
      <c r="I682" s="34"/>
      <c r="J682" s="34"/>
    </row>
    <row r="683">
      <c r="A683" s="7"/>
      <c r="B683" s="8"/>
      <c r="C683" s="8"/>
      <c r="D683" s="8"/>
      <c r="E683" s="8"/>
      <c r="F683" s="34"/>
      <c r="G683" s="34"/>
      <c r="H683" s="34"/>
      <c r="I683" s="34"/>
      <c r="J683" s="34"/>
    </row>
    <row r="684">
      <c r="A684" s="7"/>
      <c r="B684" s="8"/>
      <c r="C684" s="8"/>
      <c r="D684" s="8"/>
      <c r="E684" s="8"/>
      <c r="F684" s="34"/>
      <c r="G684" s="34"/>
      <c r="H684" s="34"/>
      <c r="I684" s="34"/>
      <c r="J684" s="34"/>
    </row>
    <row r="685">
      <c r="A685" s="7"/>
      <c r="B685" s="8"/>
      <c r="C685" s="8"/>
      <c r="D685" s="8"/>
      <c r="E685" s="8"/>
      <c r="F685" s="34"/>
      <c r="G685" s="34"/>
      <c r="H685" s="34"/>
      <c r="I685" s="34"/>
      <c r="J685" s="34"/>
    </row>
    <row r="686">
      <c r="A686" s="7"/>
      <c r="B686" s="8"/>
      <c r="C686" s="8"/>
      <c r="D686" s="8"/>
      <c r="E686" s="8"/>
      <c r="F686" s="34"/>
      <c r="G686" s="34"/>
      <c r="H686" s="34"/>
      <c r="I686" s="34"/>
      <c r="J686" s="34"/>
    </row>
    <row r="687">
      <c r="A687" s="7"/>
      <c r="B687" s="8"/>
      <c r="C687" s="8"/>
      <c r="D687" s="8"/>
      <c r="E687" s="8"/>
      <c r="F687" s="34"/>
      <c r="G687" s="34"/>
      <c r="H687" s="34"/>
      <c r="I687" s="34"/>
      <c r="J687" s="34"/>
    </row>
    <row r="688">
      <c r="A688" s="7"/>
      <c r="B688" s="8"/>
      <c r="C688" s="8"/>
      <c r="D688" s="8"/>
      <c r="E688" s="8"/>
      <c r="F688" s="34"/>
      <c r="G688" s="34"/>
      <c r="H688" s="34"/>
      <c r="I688" s="34"/>
      <c r="J688" s="34"/>
    </row>
    <row r="689">
      <c r="A689" s="7"/>
      <c r="B689" s="8"/>
      <c r="C689" s="8"/>
      <c r="D689" s="8"/>
      <c r="E689" s="8"/>
      <c r="F689" s="34"/>
      <c r="G689" s="34"/>
      <c r="H689" s="34"/>
      <c r="I689" s="34"/>
      <c r="J689" s="34"/>
    </row>
    <row r="690">
      <c r="A690" s="7"/>
      <c r="B690" s="8"/>
      <c r="C690" s="8"/>
      <c r="D690" s="8"/>
      <c r="E690" s="8"/>
      <c r="F690" s="34"/>
      <c r="G690" s="34"/>
      <c r="H690" s="34"/>
      <c r="I690" s="34"/>
      <c r="J690" s="34"/>
    </row>
    <row r="691">
      <c r="A691" s="7"/>
      <c r="B691" s="8"/>
      <c r="C691" s="8"/>
      <c r="D691" s="8"/>
      <c r="E691" s="8"/>
      <c r="F691" s="34"/>
      <c r="G691" s="34"/>
      <c r="H691" s="34"/>
      <c r="I691" s="34"/>
      <c r="J691" s="34"/>
    </row>
    <row r="692">
      <c r="A692" s="7"/>
      <c r="B692" s="8"/>
      <c r="C692" s="8"/>
      <c r="D692" s="8"/>
      <c r="E692" s="8"/>
      <c r="F692" s="34"/>
      <c r="G692" s="34"/>
      <c r="H692" s="34"/>
      <c r="I692" s="34"/>
      <c r="J692" s="34"/>
    </row>
    <row r="693">
      <c r="A693" s="7"/>
      <c r="B693" s="8"/>
      <c r="C693" s="8"/>
      <c r="D693" s="8"/>
      <c r="E693" s="8"/>
      <c r="F693" s="34"/>
      <c r="G693" s="34"/>
      <c r="H693" s="34"/>
      <c r="I693" s="34"/>
      <c r="J693" s="34"/>
    </row>
    <row r="694">
      <c r="A694" s="7"/>
      <c r="B694" s="8"/>
      <c r="C694" s="8"/>
      <c r="D694" s="8"/>
      <c r="E694" s="8"/>
      <c r="F694" s="34"/>
      <c r="G694" s="34"/>
      <c r="H694" s="34"/>
      <c r="I694" s="34"/>
      <c r="J694" s="34"/>
    </row>
    <row r="695">
      <c r="A695" s="7"/>
      <c r="B695" s="8"/>
      <c r="C695" s="8"/>
      <c r="D695" s="8"/>
      <c r="E695" s="8"/>
      <c r="F695" s="34"/>
      <c r="G695" s="34"/>
      <c r="H695" s="34"/>
      <c r="I695" s="34"/>
      <c r="J695" s="34"/>
    </row>
    <row r="696">
      <c r="A696" s="7"/>
      <c r="B696" s="8"/>
      <c r="C696" s="8"/>
      <c r="D696" s="8"/>
      <c r="E696" s="8"/>
      <c r="F696" s="34"/>
      <c r="G696" s="34"/>
      <c r="H696" s="34"/>
      <c r="I696" s="34"/>
      <c r="J696" s="34"/>
    </row>
    <row r="697">
      <c r="A697" s="7"/>
      <c r="B697" s="8"/>
      <c r="C697" s="8"/>
      <c r="D697" s="8"/>
      <c r="E697" s="8"/>
      <c r="F697" s="34"/>
      <c r="G697" s="34"/>
      <c r="H697" s="34"/>
      <c r="I697" s="34"/>
      <c r="J697" s="34"/>
    </row>
    <row r="698">
      <c r="A698" s="7"/>
      <c r="B698" s="8"/>
      <c r="C698" s="8"/>
      <c r="D698" s="8"/>
      <c r="E698" s="8"/>
      <c r="F698" s="34"/>
      <c r="G698" s="34"/>
      <c r="H698" s="34"/>
      <c r="I698" s="34"/>
      <c r="J698" s="34"/>
    </row>
    <row r="699">
      <c r="A699" s="7"/>
      <c r="B699" s="8"/>
      <c r="C699" s="8"/>
      <c r="D699" s="8"/>
      <c r="E699" s="8"/>
      <c r="F699" s="34"/>
      <c r="G699" s="34"/>
      <c r="H699" s="34"/>
      <c r="I699" s="34"/>
      <c r="J699" s="34"/>
    </row>
    <row r="700">
      <c r="A700" s="7"/>
      <c r="B700" s="8"/>
      <c r="C700" s="8"/>
      <c r="D700" s="8"/>
      <c r="E700" s="8"/>
      <c r="F700" s="34"/>
      <c r="G700" s="34"/>
      <c r="H700" s="34"/>
      <c r="I700" s="34"/>
      <c r="J700" s="34"/>
    </row>
    <row r="701">
      <c r="A701" s="7"/>
      <c r="B701" s="8"/>
      <c r="C701" s="8"/>
      <c r="D701" s="8"/>
      <c r="E701" s="8"/>
      <c r="F701" s="34"/>
      <c r="G701" s="34"/>
      <c r="H701" s="34"/>
      <c r="I701" s="34"/>
      <c r="J701" s="34"/>
    </row>
    <row r="702">
      <c r="A702" s="7"/>
      <c r="B702" s="8"/>
      <c r="C702" s="8"/>
      <c r="D702" s="8"/>
      <c r="E702" s="8"/>
      <c r="F702" s="34"/>
      <c r="G702" s="34"/>
      <c r="H702" s="34"/>
      <c r="I702" s="34"/>
      <c r="J702" s="34"/>
    </row>
    <row r="703">
      <c r="A703" s="7"/>
      <c r="B703" s="8"/>
      <c r="C703" s="8"/>
      <c r="D703" s="8"/>
      <c r="E703" s="8"/>
      <c r="F703" s="34"/>
      <c r="G703" s="34"/>
      <c r="H703" s="34"/>
      <c r="I703" s="34"/>
      <c r="J703" s="34"/>
    </row>
    <row r="704">
      <c r="A704" s="7"/>
      <c r="B704" s="8"/>
      <c r="C704" s="8"/>
      <c r="D704" s="8"/>
      <c r="E704" s="8"/>
      <c r="F704" s="34"/>
      <c r="G704" s="34"/>
      <c r="H704" s="34"/>
      <c r="I704" s="34"/>
      <c r="J704" s="34"/>
    </row>
    <row r="705">
      <c r="A705" s="7"/>
      <c r="B705" s="8"/>
      <c r="C705" s="8"/>
      <c r="D705" s="8"/>
      <c r="E705" s="8"/>
      <c r="F705" s="34"/>
      <c r="G705" s="34"/>
      <c r="H705" s="34"/>
      <c r="I705" s="34"/>
      <c r="J705" s="34"/>
    </row>
    <row r="706">
      <c r="A706" s="7"/>
      <c r="B706" s="8"/>
      <c r="C706" s="8"/>
      <c r="D706" s="8"/>
      <c r="E706" s="8"/>
      <c r="F706" s="34"/>
      <c r="G706" s="34"/>
      <c r="H706" s="34"/>
      <c r="I706" s="34"/>
      <c r="J706" s="34"/>
    </row>
    <row r="707">
      <c r="A707" s="7"/>
      <c r="B707" s="8"/>
      <c r="C707" s="8"/>
      <c r="D707" s="8"/>
      <c r="E707" s="8"/>
      <c r="F707" s="34"/>
      <c r="G707" s="34"/>
      <c r="H707" s="34"/>
      <c r="I707" s="34"/>
      <c r="J707" s="34"/>
    </row>
    <row r="708">
      <c r="A708" s="7"/>
      <c r="B708" s="8"/>
      <c r="C708" s="8"/>
      <c r="D708" s="8"/>
      <c r="E708" s="8"/>
      <c r="F708" s="34"/>
      <c r="G708" s="34"/>
      <c r="H708" s="34"/>
      <c r="I708" s="34"/>
      <c r="J708" s="34"/>
    </row>
    <row r="709">
      <c r="A709" s="7"/>
      <c r="B709" s="8"/>
      <c r="C709" s="8"/>
      <c r="D709" s="8"/>
      <c r="E709" s="8"/>
      <c r="F709" s="34"/>
      <c r="G709" s="34"/>
      <c r="H709" s="34"/>
      <c r="I709" s="34"/>
      <c r="J709" s="34"/>
    </row>
    <row r="710">
      <c r="A710" s="7"/>
      <c r="B710" s="8"/>
      <c r="C710" s="8"/>
      <c r="D710" s="8"/>
      <c r="E710" s="8"/>
      <c r="F710" s="34"/>
      <c r="G710" s="34"/>
      <c r="H710" s="34"/>
      <c r="I710" s="34"/>
      <c r="J710" s="34"/>
    </row>
    <row r="711">
      <c r="A711" s="7"/>
      <c r="B711" s="8"/>
      <c r="C711" s="8"/>
      <c r="D711" s="8"/>
      <c r="E711" s="8"/>
      <c r="F711" s="34"/>
      <c r="G711" s="34"/>
      <c r="H711" s="34"/>
      <c r="I711" s="34"/>
      <c r="J711" s="34"/>
    </row>
    <row r="712">
      <c r="A712" s="7"/>
      <c r="B712" s="8"/>
      <c r="C712" s="8"/>
      <c r="D712" s="8"/>
      <c r="E712" s="8"/>
      <c r="F712" s="34"/>
      <c r="G712" s="34"/>
      <c r="H712" s="34"/>
      <c r="I712" s="34"/>
      <c r="J712" s="34"/>
    </row>
    <row r="713">
      <c r="A713" s="7"/>
      <c r="B713" s="8"/>
      <c r="C713" s="8"/>
      <c r="D713" s="8"/>
      <c r="E713" s="8"/>
      <c r="F713" s="34"/>
      <c r="G713" s="34"/>
      <c r="H713" s="34"/>
      <c r="I713" s="34"/>
      <c r="J713" s="34"/>
    </row>
    <row r="714">
      <c r="A714" s="7"/>
      <c r="B714" s="8"/>
      <c r="C714" s="8"/>
      <c r="D714" s="8"/>
      <c r="E714" s="8"/>
      <c r="F714" s="34"/>
      <c r="G714" s="34"/>
      <c r="H714" s="34"/>
      <c r="I714" s="34"/>
      <c r="J714" s="34"/>
    </row>
    <row r="715">
      <c r="A715" s="7"/>
      <c r="B715" s="8"/>
      <c r="C715" s="8"/>
      <c r="D715" s="8"/>
      <c r="E715" s="8"/>
      <c r="F715" s="34"/>
      <c r="G715" s="34"/>
      <c r="H715" s="34"/>
      <c r="I715" s="34"/>
      <c r="J715" s="34"/>
    </row>
    <row r="716">
      <c r="A716" s="7"/>
      <c r="B716" s="8"/>
      <c r="C716" s="8"/>
      <c r="D716" s="8"/>
      <c r="E716" s="8"/>
      <c r="F716" s="34"/>
      <c r="G716" s="34"/>
      <c r="H716" s="34"/>
      <c r="I716" s="34"/>
      <c r="J716" s="34"/>
    </row>
    <row r="717">
      <c r="A717" s="7"/>
      <c r="B717" s="8"/>
      <c r="C717" s="8"/>
      <c r="D717" s="8"/>
      <c r="E717" s="8"/>
      <c r="F717" s="34"/>
      <c r="G717" s="34"/>
      <c r="H717" s="34"/>
      <c r="I717" s="34"/>
      <c r="J717" s="34"/>
    </row>
    <row r="718">
      <c r="A718" s="7"/>
      <c r="B718" s="8"/>
      <c r="C718" s="8"/>
      <c r="D718" s="8"/>
      <c r="E718" s="8"/>
      <c r="F718" s="34"/>
      <c r="G718" s="34"/>
      <c r="H718" s="34"/>
      <c r="I718" s="34"/>
      <c r="J718" s="34"/>
    </row>
    <row r="719">
      <c r="A719" s="7"/>
      <c r="B719" s="8"/>
      <c r="C719" s="8"/>
      <c r="D719" s="8"/>
      <c r="E719" s="8"/>
      <c r="F719" s="34"/>
      <c r="G719" s="34"/>
      <c r="H719" s="34"/>
      <c r="I719" s="34"/>
      <c r="J719" s="34"/>
    </row>
    <row r="720">
      <c r="A720" s="7"/>
      <c r="B720" s="8"/>
      <c r="C720" s="8"/>
      <c r="D720" s="8"/>
      <c r="E720" s="8"/>
      <c r="F720" s="34"/>
      <c r="G720" s="34"/>
      <c r="H720" s="34"/>
      <c r="I720" s="34"/>
      <c r="J720" s="34"/>
    </row>
    <row r="721">
      <c r="A721" s="7"/>
      <c r="B721" s="8"/>
      <c r="C721" s="8"/>
      <c r="D721" s="8"/>
      <c r="E721" s="8"/>
      <c r="F721" s="34"/>
      <c r="G721" s="34"/>
      <c r="H721" s="34"/>
      <c r="I721" s="34"/>
      <c r="J721" s="34"/>
    </row>
    <row r="722">
      <c r="A722" s="7"/>
      <c r="B722" s="8"/>
      <c r="C722" s="8"/>
      <c r="D722" s="8"/>
      <c r="E722" s="8"/>
      <c r="F722" s="34"/>
      <c r="G722" s="34"/>
      <c r="H722" s="34"/>
      <c r="I722" s="34"/>
      <c r="J722" s="34"/>
    </row>
    <row r="723">
      <c r="A723" s="7"/>
      <c r="B723" s="8"/>
      <c r="C723" s="8"/>
      <c r="D723" s="8"/>
      <c r="E723" s="8"/>
      <c r="F723" s="34"/>
      <c r="G723" s="34"/>
      <c r="H723" s="34"/>
      <c r="I723" s="34"/>
      <c r="J723" s="34"/>
    </row>
    <row r="724">
      <c r="A724" s="7"/>
      <c r="B724" s="8"/>
      <c r="C724" s="8"/>
      <c r="D724" s="8"/>
      <c r="E724" s="8"/>
      <c r="F724" s="34"/>
      <c r="G724" s="34"/>
      <c r="H724" s="34"/>
      <c r="I724" s="34"/>
      <c r="J724" s="34"/>
    </row>
    <row r="725">
      <c r="A725" s="7"/>
      <c r="B725" s="8"/>
      <c r="C725" s="8"/>
      <c r="D725" s="8"/>
      <c r="E725" s="8"/>
      <c r="F725" s="34"/>
      <c r="G725" s="34"/>
      <c r="H725" s="34"/>
      <c r="I725" s="34"/>
      <c r="J725" s="34"/>
    </row>
    <row r="726">
      <c r="A726" s="7"/>
      <c r="B726" s="8"/>
      <c r="C726" s="8"/>
      <c r="D726" s="8"/>
      <c r="E726" s="8"/>
      <c r="F726" s="34"/>
      <c r="G726" s="34"/>
      <c r="H726" s="34"/>
      <c r="I726" s="34"/>
      <c r="J726" s="34"/>
    </row>
    <row r="727">
      <c r="A727" s="7"/>
      <c r="B727" s="8"/>
      <c r="C727" s="8"/>
      <c r="D727" s="8"/>
      <c r="E727" s="8"/>
      <c r="F727" s="34"/>
      <c r="G727" s="34"/>
      <c r="H727" s="34"/>
      <c r="I727" s="34"/>
      <c r="J727" s="34"/>
    </row>
    <row r="728">
      <c r="A728" s="7"/>
      <c r="B728" s="8"/>
      <c r="C728" s="8"/>
      <c r="D728" s="8"/>
      <c r="E728" s="8"/>
      <c r="F728" s="34"/>
      <c r="G728" s="34"/>
      <c r="H728" s="34"/>
      <c r="I728" s="34"/>
      <c r="J728" s="34"/>
    </row>
    <row r="729">
      <c r="A729" s="7"/>
      <c r="B729" s="8"/>
      <c r="C729" s="8"/>
      <c r="D729" s="8"/>
      <c r="E729" s="8"/>
      <c r="F729" s="34"/>
      <c r="G729" s="34"/>
      <c r="H729" s="34"/>
      <c r="I729" s="34"/>
      <c r="J729" s="34"/>
    </row>
    <row r="730">
      <c r="A730" s="7"/>
      <c r="B730" s="8"/>
      <c r="C730" s="8"/>
      <c r="D730" s="8"/>
      <c r="E730" s="8"/>
      <c r="F730" s="34"/>
      <c r="G730" s="34"/>
      <c r="H730" s="34"/>
      <c r="I730" s="34"/>
      <c r="J730" s="34"/>
    </row>
    <row r="731">
      <c r="A731" s="7"/>
      <c r="B731" s="8"/>
      <c r="C731" s="8"/>
      <c r="D731" s="8"/>
      <c r="E731" s="8"/>
      <c r="F731" s="34"/>
      <c r="G731" s="34"/>
      <c r="H731" s="34"/>
      <c r="I731" s="34"/>
      <c r="J731" s="34"/>
    </row>
    <row r="732">
      <c r="A732" s="7"/>
      <c r="B732" s="8"/>
      <c r="C732" s="8"/>
      <c r="D732" s="8"/>
      <c r="E732" s="8"/>
      <c r="F732" s="34"/>
      <c r="G732" s="34"/>
      <c r="H732" s="34"/>
      <c r="I732" s="34"/>
      <c r="J732" s="34"/>
    </row>
    <row r="733">
      <c r="A733" s="7"/>
      <c r="B733" s="8"/>
      <c r="C733" s="8"/>
      <c r="D733" s="8"/>
      <c r="E733" s="8"/>
      <c r="F733" s="34"/>
      <c r="G733" s="34"/>
      <c r="H733" s="34"/>
      <c r="I733" s="34"/>
      <c r="J733" s="34"/>
    </row>
    <row r="734">
      <c r="A734" s="7"/>
      <c r="B734" s="8"/>
      <c r="C734" s="8"/>
      <c r="D734" s="8"/>
      <c r="E734" s="8"/>
      <c r="F734" s="34"/>
      <c r="G734" s="34"/>
      <c r="H734" s="34"/>
      <c r="I734" s="34"/>
      <c r="J734" s="34"/>
    </row>
    <row r="735">
      <c r="A735" s="7"/>
      <c r="B735" s="8"/>
      <c r="C735" s="8"/>
      <c r="D735" s="8"/>
      <c r="E735" s="8"/>
      <c r="F735" s="34"/>
      <c r="G735" s="34"/>
      <c r="H735" s="34"/>
      <c r="I735" s="34"/>
      <c r="J735" s="34"/>
    </row>
    <row r="736">
      <c r="A736" s="7"/>
      <c r="B736" s="8"/>
      <c r="C736" s="8"/>
      <c r="D736" s="8"/>
      <c r="E736" s="8"/>
      <c r="F736" s="34"/>
      <c r="G736" s="34"/>
      <c r="H736" s="34"/>
      <c r="I736" s="34"/>
      <c r="J736" s="34"/>
    </row>
    <row r="737">
      <c r="A737" s="7"/>
      <c r="B737" s="8"/>
      <c r="C737" s="8"/>
      <c r="D737" s="8"/>
      <c r="E737" s="8"/>
      <c r="F737" s="34"/>
      <c r="G737" s="34"/>
      <c r="H737" s="34"/>
      <c r="I737" s="34"/>
      <c r="J737" s="34"/>
    </row>
    <row r="738">
      <c r="A738" s="7"/>
      <c r="B738" s="8"/>
      <c r="C738" s="8"/>
      <c r="D738" s="8"/>
      <c r="E738" s="8"/>
      <c r="F738" s="34"/>
      <c r="G738" s="34"/>
      <c r="H738" s="34"/>
      <c r="I738" s="34"/>
      <c r="J738" s="34"/>
    </row>
    <row r="739">
      <c r="A739" s="7"/>
      <c r="B739" s="8"/>
      <c r="C739" s="8"/>
      <c r="D739" s="8"/>
      <c r="E739" s="8"/>
      <c r="F739" s="34"/>
      <c r="G739" s="34"/>
      <c r="H739" s="34"/>
      <c r="I739" s="34"/>
      <c r="J739" s="34"/>
    </row>
    <row r="740">
      <c r="A740" s="7"/>
      <c r="B740" s="8"/>
      <c r="C740" s="8"/>
      <c r="D740" s="8"/>
      <c r="E740" s="8"/>
      <c r="F740" s="34"/>
      <c r="G740" s="34"/>
      <c r="H740" s="34"/>
      <c r="I740" s="34"/>
      <c r="J740" s="34"/>
    </row>
    <row r="741">
      <c r="A741" s="7"/>
      <c r="B741" s="8"/>
      <c r="C741" s="8"/>
      <c r="D741" s="8"/>
      <c r="E741" s="8"/>
      <c r="F741" s="34"/>
      <c r="G741" s="34"/>
      <c r="H741" s="34"/>
      <c r="I741" s="34"/>
      <c r="J741" s="34"/>
    </row>
    <row r="742">
      <c r="A742" s="7"/>
      <c r="B742" s="8"/>
      <c r="C742" s="8"/>
      <c r="D742" s="8"/>
      <c r="E742" s="8"/>
      <c r="F742" s="34"/>
      <c r="G742" s="34"/>
      <c r="H742" s="34"/>
      <c r="I742" s="34"/>
      <c r="J742" s="34"/>
    </row>
    <row r="743">
      <c r="A743" s="7"/>
      <c r="B743" s="8"/>
      <c r="C743" s="8"/>
      <c r="D743" s="8"/>
      <c r="E743" s="8"/>
      <c r="F743" s="34"/>
      <c r="G743" s="34"/>
      <c r="H743" s="34"/>
      <c r="I743" s="34"/>
      <c r="J743" s="34"/>
    </row>
    <row r="744">
      <c r="A744" s="7"/>
      <c r="B744" s="8"/>
      <c r="C744" s="8"/>
      <c r="D744" s="8"/>
      <c r="E744" s="8"/>
      <c r="F744" s="34"/>
      <c r="G744" s="34"/>
      <c r="H744" s="34"/>
      <c r="I744" s="34"/>
      <c r="J744" s="34"/>
    </row>
    <row r="745">
      <c r="A745" s="7"/>
      <c r="B745" s="8"/>
      <c r="C745" s="8"/>
      <c r="D745" s="8"/>
      <c r="E745" s="8"/>
      <c r="F745" s="34"/>
      <c r="G745" s="34"/>
      <c r="H745" s="34"/>
      <c r="I745" s="34"/>
      <c r="J745" s="34"/>
    </row>
    <row r="746">
      <c r="A746" s="7"/>
      <c r="B746" s="8"/>
      <c r="C746" s="8"/>
      <c r="D746" s="8"/>
      <c r="E746" s="8"/>
      <c r="F746" s="34"/>
      <c r="G746" s="34"/>
      <c r="H746" s="34"/>
      <c r="I746" s="34"/>
      <c r="J746" s="34"/>
    </row>
    <row r="747">
      <c r="A747" s="7"/>
      <c r="B747" s="8"/>
      <c r="C747" s="8"/>
      <c r="D747" s="8"/>
      <c r="E747" s="8"/>
      <c r="F747" s="34"/>
      <c r="G747" s="34"/>
      <c r="H747" s="34"/>
      <c r="I747" s="34"/>
      <c r="J747" s="34"/>
    </row>
    <row r="748">
      <c r="A748" s="7"/>
      <c r="B748" s="8"/>
      <c r="C748" s="8"/>
      <c r="D748" s="8"/>
      <c r="E748" s="8"/>
      <c r="F748" s="34"/>
      <c r="G748" s="34"/>
      <c r="H748" s="34"/>
      <c r="I748" s="34"/>
      <c r="J748" s="34"/>
    </row>
    <row r="749">
      <c r="A749" s="7"/>
      <c r="B749" s="8"/>
      <c r="C749" s="8"/>
      <c r="D749" s="8"/>
      <c r="E749" s="8"/>
      <c r="F749" s="34"/>
      <c r="G749" s="34"/>
      <c r="H749" s="34"/>
      <c r="I749" s="34"/>
      <c r="J749" s="34"/>
    </row>
    <row r="750">
      <c r="A750" s="7"/>
      <c r="B750" s="8"/>
      <c r="C750" s="8"/>
      <c r="D750" s="8"/>
      <c r="E750" s="8"/>
      <c r="F750" s="34"/>
      <c r="G750" s="34"/>
      <c r="H750" s="34"/>
      <c r="I750" s="34"/>
      <c r="J750" s="34"/>
    </row>
    <row r="751">
      <c r="A751" s="7"/>
      <c r="B751" s="8"/>
      <c r="C751" s="8"/>
      <c r="D751" s="8"/>
      <c r="E751" s="8"/>
      <c r="F751" s="34"/>
      <c r="G751" s="34"/>
      <c r="H751" s="34"/>
      <c r="I751" s="34"/>
      <c r="J751" s="34"/>
    </row>
    <row r="752">
      <c r="A752" s="7"/>
      <c r="B752" s="8"/>
      <c r="C752" s="8"/>
      <c r="D752" s="8"/>
      <c r="E752" s="8"/>
      <c r="F752" s="34"/>
      <c r="G752" s="34"/>
      <c r="H752" s="34"/>
      <c r="I752" s="34"/>
      <c r="J752" s="34"/>
    </row>
    <row r="753">
      <c r="A753" s="7"/>
      <c r="B753" s="8"/>
      <c r="C753" s="8"/>
      <c r="D753" s="8"/>
      <c r="E753" s="8"/>
      <c r="F753" s="34"/>
      <c r="G753" s="34"/>
      <c r="H753" s="34"/>
      <c r="I753" s="34"/>
      <c r="J753" s="34"/>
    </row>
    <row r="754">
      <c r="A754" s="7"/>
      <c r="B754" s="8"/>
      <c r="C754" s="8"/>
      <c r="D754" s="8"/>
      <c r="E754" s="8"/>
      <c r="F754" s="34"/>
      <c r="G754" s="34"/>
      <c r="H754" s="34"/>
      <c r="I754" s="34"/>
      <c r="J754" s="34"/>
    </row>
    <row r="755">
      <c r="A755" s="7"/>
      <c r="B755" s="8"/>
      <c r="C755" s="8"/>
      <c r="D755" s="8"/>
      <c r="E755" s="8"/>
      <c r="F755" s="34"/>
      <c r="G755" s="34"/>
      <c r="H755" s="34"/>
      <c r="I755" s="34"/>
      <c r="J755" s="34"/>
    </row>
    <row r="756">
      <c r="B756" s="8"/>
      <c r="C756" s="8"/>
      <c r="D756" s="8"/>
      <c r="E756" s="8"/>
      <c r="F756" s="34"/>
      <c r="G756" s="34"/>
      <c r="H756" s="34"/>
      <c r="I756" s="34"/>
      <c r="J756" s="34"/>
    </row>
    <row r="757">
      <c r="B757" s="8"/>
      <c r="C757" s="8"/>
      <c r="D757" s="8"/>
      <c r="E757" s="8"/>
      <c r="F757" s="34"/>
      <c r="G757" s="34"/>
      <c r="H757" s="34"/>
      <c r="I757" s="34"/>
      <c r="J757" s="34"/>
    </row>
    <row r="758">
      <c r="B758" s="8"/>
      <c r="C758" s="8"/>
      <c r="D758" s="8"/>
      <c r="E758" s="8"/>
      <c r="F758" s="34"/>
      <c r="G758" s="34"/>
      <c r="H758" s="34"/>
      <c r="I758" s="34"/>
      <c r="J758" s="34"/>
    </row>
    <row r="759">
      <c r="B759" s="8"/>
      <c r="C759" s="8"/>
      <c r="D759" s="8"/>
      <c r="E759" s="8"/>
      <c r="F759" s="34"/>
      <c r="G759" s="34"/>
      <c r="H759" s="34"/>
      <c r="I759" s="34"/>
      <c r="J759" s="34"/>
    </row>
    <row r="760">
      <c r="B760" s="8"/>
      <c r="C760" s="8"/>
      <c r="D760" s="8"/>
      <c r="E760" s="8"/>
      <c r="F760" s="34"/>
      <c r="G760" s="34"/>
      <c r="H760" s="34"/>
      <c r="I760" s="34"/>
      <c r="J760" s="34"/>
    </row>
    <row r="761">
      <c r="B761" s="8"/>
      <c r="C761" s="8"/>
      <c r="D761" s="8"/>
      <c r="E761" s="8"/>
      <c r="F761" s="34"/>
      <c r="G761" s="34"/>
      <c r="H761" s="34"/>
      <c r="I761" s="34"/>
      <c r="J761" s="34"/>
    </row>
    <row r="762">
      <c r="B762" s="8"/>
      <c r="C762" s="8"/>
      <c r="D762" s="8"/>
      <c r="E762" s="8"/>
      <c r="F762" s="34"/>
      <c r="G762" s="34"/>
      <c r="H762" s="34"/>
      <c r="I762" s="34"/>
      <c r="J762" s="34"/>
    </row>
    <row r="763">
      <c r="B763" s="8"/>
      <c r="C763" s="8"/>
      <c r="D763" s="8"/>
      <c r="E763" s="8"/>
      <c r="F763" s="34"/>
      <c r="G763" s="34"/>
      <c r="H763" s="34"/>
      <c r="I763" s="34"/>
      <c r="J763" s="34"/>
    </row>
    <row r="764">
      <c r="B764" s="8"/>
      <c r="C764" s="8"/>
      <c r="D764" s="8"/>
      <c r="E764" s="8"/>
      <c r="F764" s="34"/>
      <c r="G764" s="34"/>
      <c r="H764" s="34"/>
      <c r="I764" s="34"/>
      <c r="J764" s="34"/>
    </row>
    <row r="765">
      <c r="B765" s="8"/>
      <c r="C765" s="8"/>
      <c r="D765" s="8"/>
      <c r="E765" s="8"/>
      <c r="F765" s="34"/>
      <c r="G765" s="34"/>
      <c r="H765" s="34"/>
      <c r="I765" s="34"/>
      <c r="J765" s="34"/>
    </row>
    <row r="766">
      <c r="B766" s="8"/>
      <c r="C766" s="8"/>
      <c r="D766" s="8"/>
      <c r="E766" s="8"/>
      <c r="F766" s="34"/>
      <c r="G766" s="34"/>
      <c r="H766" s="34"/>
      <c r="I766" s="34"/>
      <c r="J766" s="34"/>
    </row>
    <row r="767">
      <c r="B767" s="8"/>
      <c r="C767" s="8"/>
      <c r="D767" s="8"/>
      <c r="E767" s="8"/>
      <c r="F767" s="34"/>
      <c r="G767" s="34"/>
      <c r="H767" s="34"/>
      <c r="I767" s="34"/>
      <c r="J767" s="34"/>
    </row>
    <row r="768">
      <c r="B768" s="8"/>
      <c r="C768" s="8"/>
      <c r="D768" s="8"/>
      <c r="E768" s="8"/>
      <c r="F768" s="34"/>
      <c r="G768" s="34"/>
      <c r="H768" s="34"/>
      <c r="I768" s="34"/>
      <c r="J768" s="34"/>
    </row>
    <row r="769">
      <c r="B769" s="8"/>
      <c r="C769" s="8"/>
      <c r="D769" s="8"/>
      <c r="E769" s="8"/>
      <c r="F769" s="34"/>
      <c r="G769" s="34"/>
      <c r="H769" s="34"/>
      <c r="I769" s="34"/>
      <c r="J769" s="34"/>
    </row>
    <row r="770">
      <c r="B770" s="8"/>
      <c r="C770" s="8"/>
      <c r="D770" s="8"/>
      <c r="E770" s="8"/>
      <c r="F770" s="34"/>
      <c r="G770" s="34"/>
      <c r="H770" s="34"/>
      <c r="I770" s="34"/>
      <c r="J770" s="34"/>
    </row>
    <row r="771">
      <c r="B771" s="8"/>
      <c r="C771" s="8"/>
      <c r="D771" s="8"/>
      <c r="E771" s="8"/>
      <c r="F771" s="34"/>
      <c r="G771" s="34"/>
      <c r="H771" s="34"/>
      <c r="I771" s="34"/>
      <c r="J771" s="34"/>
    </row>
    <row r="772">
      <c r="B772" s="8"/>
      <c r="C772" s="8"/>
      <c r="D772" s="8"/>
      <c r="E772" s="8"/>
      <c r="F772" s="34"/>
      <c r="G772" s="34"/>
      <c r="H772" s="34"/>
      <c r="I772" s="34"/>
      <c r="J772" s="34"/>
    </row>
    <row r="773">
      <c r="B773" s="8"/>
      <c r="C773" s="8"/>
      <c r="D773" s="8"/>
      <c r="E773" s="8"/>
      <c r="F773" s="34"/>
      <c r="G773" s="34"/>
      <c r="H773" s="34"/>
      <c r="I773" s="34"/>
      <c r="J773" s="34"/>
    </row>
    <row r="774">
      <c r="B774" s="8"/>
      <c r="C774" s="8"/>
      <c r="D774" s="8"/>
      <c r="E774" s="8"/>
      <c r="F774" s="34"/>
      <c r="G774" s="34"/>
      <c r="H774" s="34"/>
      <c r="I774" s="34"/>
      <c r="J774" s="34"/>
    </row>
    <row r="775">
      <c r="B775" s="8"/>
      <c r="C775" s="8"/>
      <c r="D775" s="8"/>
      <c r="E775" s="8"/>
      <c r="F775" s="34"/>
      <c r="G775" s="34"/>
      <c r="H775" s="34"/>
      <c r="I775" s="34"/>
      <c r="J775" s="34"/>
    </row>
    <row r="776">
      <c r="B776" s="8"/>
      <c r="C776" s="8"/>
      <c r="D776" s="8"/>
      <c r="E776" s="8"/>
      <c r="F776" s="34"/>
      <c r="G776" s="34"/>
      <c r="H776" s="34"/>
      <c r="I776" s="34"/>
      <c r="J776" s="34"/>
    </row>
    <row r="777">
      <c r="B777" s="8"/>
      <c r="C777" s="8"/>
      <c r="D777" s="8"/>
      <c r="E777" s="8"/>
      <c r="F777" s="34"/>
      <c r="G777" s="34"/>
      <c r="H777" s="34"/>
      <c r="I777" s="34"/>
      <c r="J777" s="34"/>
    </row>
    <row r="778">
      <c r="B778" s="8"/>
      <c r="C778" s="8"/>
      <c r="D778" s="8"/>
      <c r="E778" s="8"/>
      <c r="F778" s="34"/>
      <c r="G778" s="34"/>
      <c r="H778" s="34"/>
      <c r="I778" s="34"/>
      <c r="J778" s="34"/>
    </row>
    <row r="779">
      <c r="B779" s="8"/>
      <c r="C779" s="8"/>
      <c r="D779" s="8"/>
      <c r="E779" s="8"/>
      <c r="F779" s="34"/>
      <c r="G779" s="34"/>
      <c r="H779" s="34"/>
      <c r="I779" s="34"/>
      <c r="J779" s="34"/>
    </row>
    <row r="780">
      <c r="B780" s="8"/>
      <c r="C780" s="8"/>
      <c r="D780" s="8"/>
      <c r="E780" s="8"/>
      <c r="F780" s="34"/>
      <c r="G780" s="34"/>
      <c r="H780" s="34"/>
      <c r="I780" s="34"/>
      <c r="J780" s="34"/>
    </row>
    <row r="781">
      <c r="B781" s="8"/>
      <c r="C781" s="8"/>
      <c r="D781" s="8"/>
      <c r="E781" s="8"/>
      <c r="F781" s="34"/>
      <c r="G781" s="34"/>
      <c r="H781" s="34"/>
      <c r="I781" s="34"/>
      <c r="J781" s="34"/>
    </row>
    <row r="782">
      <c r="B782" s="8"/>
      <c r="C782" s="8"/>
      <c r="D782" s="8"/>
      <c r="E782" s="8"/>
      <c r="F782" s="34"/>
      <c r="G782" s="34"/>
      <c r="H782" s="34"/>
      <c r="I782" s="34"/>
      <c r="J782" s="34"/>
    </row>
    <row r="783">
      <c r="B783" s="8"/>
      <c r="C783" s="8"/>
      <c r="D783" s="8"/>
      <c r="E783" s="8"/>
      <c r="F783" s="34"/>
      <c r="G783" s="34"/>
      <c r="H783" s="34"/>
      <c r="I783" s="34"/>
      <c r="J783" s="34"/>
    </row>
    <row r="784">
      <c r="B784" s="8"/>
      <c r="C784" s="8"/>
      <c r="D784" s="8"/>
      <c r="E784" s="8"/>
      <c r="F784" s="34"/>
      <c r="G784" s="34"/>
      <c r="H784" s="34"/>
      <c r="I784" s="34"/>
      <c r="J784" s="34"/>
    </row>
    <row r="785">
      <c r="B785" s="8"/>
      <c r="C785" s="8"/>
      <c r="D785" s="8"/>
      <c r="E785" s="8"/>
      <c r="F785" s="34"/>
      <c r="G785" s="34"/>
      <c r="H785" s="34"/>
      <c r="I785" s="34"/>
      <c r="J785" s="34"/>
    </row>
    <row r="786">
      <c r="B786" s="8"/>
      <c r="C786" s="8"/>
      <c r="D786" s="8"/>
      <c r="E786" s="8"/>
      <c r="F786" s="34"/>
      <c r="G786" s="34"/>
      <c r="H786" s="34"/>
      <c r="I786" s="34"/>
      <c r="J786" s="34"/>
    </row>
    <row r="787">
      <c r="B787" s="8"/>
      <c r="C787" s="8"/>
      <c r="D787" s="8"/>
      <c r="E787" s="8"/>
      <c r="F787" s="34"/>
      <c r="G787" s="34"/>
      <c r="H787" s="34"/>
      <c r="I787" s="34"/>
      <c r="J787" s="34"/>
    </row>
    <row r="788">
      <c r="B788" s="8"/>
      <c r="C788" s="8"/>
      <c r="D788" s="8"/>
      <c r="E788" s="8"/>
      <c r="F788" s="34"/>
      <c r="G788" s="34"/>
      <c r="H788" s="34"/>
      <c r="I788" s="34"/>
      <c r="J788" s="34"/>
    </row>
    <row r="789">
      <c r="B789" s="8"/>
      <c r="C789" s="8"/>
      <c r="D789" s="8"/>
      <c r="E789" s="8"/>
      <c r="F789" s="34"/>
      <c r="G789" s="34"/>
      <c r="H789" s="34"/>
      <c r="I789" s="34"/>
      <c r="J789" s="34"/>
    </row>
    <row r="790">
      <c r="B790" s="8"/>
      <c r="C790" s="8"/>
      <c r="D790" s="8"/>
      <c r="E790" s="8"/>
      <c r="F790" s="34"/>
      <c r="G790" s="34"/>
      <c r="H790" s="34"/>
      <c r="I790" s="34"/>
      <c r="J790" s="34"/>
    </row>
    <row r="791">
      <c r="B791" s="8"/>
      <c r="C791" s="8"/>
      <c r="D791" s="8"/>
      <c r="E791" s="8"/>
      <c r="F791" s="34"/>
      <c r="G791" s="34"/>
      <c r="H791" s="34"/>
      <c r="I791" s="34"/>
      <c r="J791" s="34"/>
    </row>
    <row r="792">
      <c r="B792" s="8"/>
      <c r="C792" s="8"/>
      <c r="D792" s="8"/>
      <c r="E792" s="8"/>
      <c r="F792" s="34"/>
      <c r="G792" s="34"/>
      <c r="H792" s="34"/>
      <c r="I792" s="34"/>
      <c r="J792" s="34"/>
    </row>
    <row r="793">
      <c r="B793" s="8"/>
      <c r="C793" s="8"/>
      <c r="D793" s="8"/>
      <c r="E793" s="8"/>
      <c r="F793" s="34"/>
      <c r="G793" s="34"/>
      <c r="H793" s="34"/>
      <c r="I793" s="34"/>
      <c r="J793" s="34"/>
    </row>
    <row r="794">
      <c r="B794" s="8"/>
      <c r="C794" s="8"/>
      <c r="D794" s="8"/>
      <c r="E794" s="8"/>
      <c r="F794" s="34"/>
      <c r="G794" s="34"/>
      <c r="H794" s="34"/>
      <c r="I794" s="34"/>
      <c r="J794" s="34"/>
    </row>
    <row r="795">
      <c r="B795" s="8"/>
      <c r="C795" s="8"/>
      <c r="D795" s="8"/>
      <c r="E795" s="8"/>
      <c r="F795" s="34"/>
      <c r="G795" s="34"/>
      <c r="H795" s="34"/>
      <c r="I795" s="34"/>
      <c r="J795" s="34"/>
    </row>
    <row r="796">
      <c r="B796" s="8"/>
      <c r="C796" s="8"/>
      <c r="D796" s="8"/>
      <c r="E796" s="8"/>
      <c r="F796" s="34"/>
      <c r="G796" s="34"/>
      <c r="H796" s="34"/>
      <c r="I796" s="34"/>
      <c r="J796" s="34"/>
    </row>
    <row r="797">
      <c r="B797" s="8"/>
      <c r="C797" s="8"/>
      <c r="D797" s="8"/>
      <c r="E797" s="8"/>
      <c r="F797" s="34"/>
      <c r="G797" s="34"/>
      <c r="H797" s="34"/>
      <c r="I797" s="34"/>
      <c r="J797" s="34"/>
    </row>
  </sheetData>
  <conditionalFormatting sqref="A2:A14 I2:I14 J2">
    <cfRule type="colorScale" priority="1">
      <colorScale>
        <cfvo type="formula" val="0"/>
        <cfvo type="percentile" val="50"/>
        <cfvo type="formula" val="1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3.0"/>
    <col customWidth="1" min="2" max="2" width="11.88"/>
    <col customWidth="1" min="3" max="3" width="51.63"/>
    <col customWidth="1" min="4" max="4" width="13.63"/>
    <col customWidth="1" min="6" max="6" width="15.13"/>
    <col customWidth="1" min="7" max="7" width="18.75"/>
  </cols>
  <sheetData>
    <row r="1">
      <c r="A1" s="61" t="s">
        <v>548</v>
      </c>
      <c r="B1" s="61" t="s">
        <v>549</v>
      </c>
      <c r="C1" s="61" t="s">
        <v>550</v>
      </c>
      <c r="D1" s="61"/>
      <c r="E1" s="61" t="s">
        <v>551</v>
      </c>
      <c r="F1" s="61" t="s">
        <v>552</v>
      </c>
      <c r="G1" s="62" t="s">
        <v>553</v>
      </c>
      <c r="I1" s="61" t="s">
        <v>554</v>
      </c>
    </row>
    <row r="2">
      <c r="A2" s="63" t="s">
        <v>201</v>
      </c>
      <c r="B2" s="63"/>
      <c r="C2" s="64" t="s">
        <v>555</v>
      </c>
      <c r="D2" s="64" t="s">
        <v>556</v>
      </c>
    </row>
    <row r="3">
      <c r="A3" s="63" t="s">
        <v>557</v>
      </c>
      <c r="B3" s="63"/>
      <c r="C3" s="65" t="s">
        <v>558</v>
      </c>
      <c r="D3" s="64" t="s">
        <v>556</v>
      </c>
    </row>
    <row r="4">
      <c r="A4" s="63" t="s">
        <v>559</v>
      </c>
      <c r="B4" s="63"/>
      <c r="C4" s="64" t="s">
        <v>560</v>
      </c>
      <c r="D4" s="64" t="s">
        <v>556</v>
      </c>
    </row>
    <row r="5">
      <c r="A5" s="66" t="s">
        <v>561</v>
      </c>
      <c r="B5" s="66"/>
      <c r="C5" s="65" t="s">
        <v>558</v>
      </c>
      <c r="D5" s="65" t="s">
        <v>556</v>
      </c>
      <c r="E5" s="30"/>
      <c r="F5" s="30"/>
    </row>
    <row r="6">
      <c r="A6" s="63"/>
      <c r="B6" s="63"/>
      <c r="C6" s="64"/>
      <c r="D6" s="64"/>
    </row>
    <row r="7">
      <c r="C7" s="64"/>
      <c r="D7" s="64"/>
    </row>
    <row r="8">
      <c r="C8" s="64"/>
      <c r="D8" s="64"/>
    </row>
    <row r="9">
      <c r="C9" s="64"/>
      <c r="D9" s="64"/>
    </row>
    <row r="10">
      <c r="A10" s="30"/>
      <c r="B10" s="30"/>
      <c r="C10" s="65"/>
      <c r="D10" s="64"/>
    </row>
    <row r="11">
      <c r="C11" s="64"/>
      <c r="D11" s="64"/>
    </row>
    <row r="12">
      <c r="A12" s="30"/>
      <c r="B12" s="30"/>
      <c r="C12" s="65"/>
      <c r="D12" s="64"/>
    </row>
    <row r="13">
      <c r="C13" s="64"/>
      <c r="D13" s="64"/>
    </row>
    <row r="14">
      <c r="A14" s="64"/>
      <c r="C14" s="7"/>
      <c r="D14" s="7"/>
    </row>
    <row r="15">
      <c r="A15" s="30"/>
      <c r="B15" s="67"/>
      <c r="C15" s="68"/>
      <c r="D15" s="7"/>
    </row>
    <row r="16">
      <c r="B16" s="19"/>
      <c r="C16" s="69"/>
      <c r="D16" s="7"/>
    </row>
    <row r="17">
      <c r="B17" s="70"/>
      <c r="D17" s="7"/>
    </row>
    <row r="18">
      <c r="A18" s="30"/>
      <c r="B18" s="71"/>
      <c r="C18" s="30"/>
      <c r="D18" s="7"/>
    </row>
  </sheetData>
  <conditionalFormatting sqref="B18">
    <cfRule type="expression" dxfId="5" priority="1">
      <formula>OR($I18="C",$I18="Confirmed in Symplicity")</formula>
    </cfRule>
  </conditionalFormatting>
  <conditionalFormatting sqref="B18">
    <cfRule type="expression" dxfId="6" priority="2">
      <formula>$I18="BTT"</formula>
    </cfRule>
  </conditionalFormatting>
  <conditionalFormatting sqref="B18">
    <cfRule type="expression" dxfId="7" priority="3">
      <formula>$I18="R"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63"/>
    <col customWidth="1" min="2" max="2" width="5.38"/>
    <col customWidth="1" min="6" max="6" width="15.88"/>
    <col customWidth="1" min="8" max="8" width="20.13"/>
  </cols>
  <sheetData>
    <row r="1">
      <c r="A1" s="7" t="s">
        <v>562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333</v>
      </c>
      <c r="B2" s="72">
        <f>IFERROR(VLOOKUP(A2, 'Current Decisions'!A:G, 7, FALSE), "")</f>
        <v>58.2</v>
      </c>
      <c r="C2" s="8">
        <v>2.0</v>
      </c>
      <c r="D2" s="7">
        <v>2.0</v>
      </c>
      <c r="E2" s="8">
        <v>0.0</v>
      </c>
      <c r="F2" s="7">
        <v>0.0</v>
      </c>
      <c r="G2" s="7" t="s">
        <v>564</v>
      </c>
    </row>
    <row r="3">
      <c r="A3" s="7" t="s">
        <v>344</v>
      </c>
      <c r="B3" s="72">
        <f>IFERROR(VLOOKUP(A3, 'Current Decisions'!A:G, 7, FALSE), "")</f>
        <v>52</v>
      </c>
      <c r="C3" s="8">
        <v>2.0</v>
      </c>
      <c r="D3" s="7">
        <v>2.0</v>
      </c>
      <c r="E3" s="8">
        <v>0.0</v>
      </c>
      <c r="F3" s="7">
        <v>0.0</v>
      </c>
      <c r="G3" s="7" t="s">
        <v>564</v>
      </c>
    </row>
    <row r="4">
      <c r="A4" s="7" t="s">
        <v>76</v>
      </c>
      <c r="B4" s="72">
        <f>IFERROR(VLOOKUP(A4, 'Current Decisions'!A:G, 7, FALSE), "")</f>
        <v>41.9</v>
      </c>
      <c r="C4" s="7">
        <v>2.0</v>
      </c>
      <c r="D4" s="7">
        <v>2.0</v>
      </c>
      <c r="E4" s="7">
        <v>0.0</v>
      </c>
      <c r="F4" s="7">
        <v>0.0</v>
      </c>
      <c r="G4" s="7" t="s">
        <v>564</v>
      </c>
    </row>
    <row r="5">
      <c r="A5" s="7" t="s">
        <v>211</v>
      </c>
      <c r="B5" s="72">
        <f>IFERROR(VLOOKUP(A5, 'Current Decisions'!A:G, 7, FALSE), "")</f>
        <v>39.3</v>
      </c>
      <c r="C5" s="8">
        <v>2.0</v>
      </c>
      <c r="D5" s="72">
        <f t="shared" ref="D5:D6" si="1">C5</f>
        <v>2</v>
      </c>
      <c r="E5" s="8">
        <v>0.0</v>
      </c>
      <c r="F5" s="72">
        <f t="shared" ref="F5:F6" si="2">E5</f>
        <v>0</v>
      </c>
      <c r="G5" s="7" t="s">
        <v>564</v>
      </c>
    </row>
    <row r="6">
      <c r="A6" s="7" t="s">
        <v>185</v>
      </c>
      <c r="B6" s="72">
        <f>IFERROR(VLOOKUP(A6, 'Current Decisions'!A:G, 7, FALSE), "")</f>
        <v>39</v>
      </c>
      <c r="C6" s="8">
        <v>1.0</v>
      </c>
      <c r="D6" s="72">
        <f t="shared" si="1"/>
        <v>1</v>
      </c>
      <c r="E6" s="8">
        <v>1.0</v>
      </c>
      <c r="F6" s="72">
        <f t="shared" si="2"/>
        <v>1</v>
      </c>
      <c r="G6" s="7" t="s">
        <v>564</v>
      </c>
    </row>
    <row r="7">
      <c r="A7" s="7" t="s">
        <v>334</v>
      </c>
      <c r="B7" s="72">
        <f>IFERROR(VLOOKUP(A7, 'Current Decisions'!A:G, 7, FALSE), "")</f>
        <v>26.7</v>
      </c>
      <c r="C7" s="8">
        <v>1.0</v>
      </c>
      <c r="D7" s="7">
        <v>1.0</v>
      </c>
      <c r="E7" s="8">
        <v>0.0</v>
      </c>
      <c r="F7" s="7">
        <v>0.0</v>
      </c>
      <c r="G7" s="7" t="s">
        <v>564</v>
      </c>
    </row>
    <row r="8">
      <c r="A8" s="7" t="s">
        <v>219</v>
      </c>
      <c r="B8" s="72">
        <f>IFERROR(VLOOKUP(A8, 'Current Decisions'!A:G, 7, FALSE), "")</f>
        <v>26.1</v>
      </c>
      <c r="C8" s="8">
        <v>1.0</v>
      </c>
      <c r="D8" s="72">
        <f>C8</f>
        <v>1</v>
      </c>
      <c r="E8" s="8">
        <v>1.0</v>
      </c>
      <c r="F8" s="72">
        <f>E8</f>
        <v>1</v>
      </c>
      <c r="G8" s="7" t="s">
        <v>564</v>
      </c>
    </row>
    <row r="9">
      <c r="A9" s="7" t="s">
        <v>372</v>
      </c>
      <c r="B9" s="72">
        <f>IFERROR(VLOOKUP(A9, 'Current Decisions'!A:G, 7, FALSE), "")</f>
        <v>25.6</v>
      </c>
      <c r="C9" s="8">
        <v>1.0</v>
      </c>
      <c r="D9" s="7">
        <v>1.0</v>
      </c>
      <c r="E9" s="8">
        <v>0.0</v>
      </c>
      <c r="F9" s="7">
        <v>0.0</v>
      </c>
      <c r="G9" s="7" t="s">
        <v>564</v>
      </c>
    </row>
    <row r="10">
      <c r="A10" s="7" t="s">
        <v>324</v>
      </c>
      <c r="B10" s="72">
        <f>IFERROR(VLOOKUP(A10, 'Current Decisions'!A:G, 7, FALSE), "")</f>
        <v>24</v>
      </c>
      <c r="C10" s="8">
        <v>1.0</v>
      </c>
      <c r="D10" s="7">
        <v>1.0</v>
      </c>
      <c r="E10" s="8">
        <v>0.0</v>
      </c>
      <c r="F10" s="7">
        <v>0.0</v>
      </c>
      <c r="G10" s="7" t="s">
        <v>564</v>
      </c>
    </row>
    <row r="11">
      <c r="A11" s="7" t="s">
        <v>247</v>
      </c>
      <c r="B11" s="72">
        <f>IFERROR(VLOOKUP(A11, 'Current Decisions'!A:G, 7, FALSE), "")</f>
        <v>22.5</v>
      </c>
      <c r="C11" s="8">
        <v>1.0</v>
      </c>
      <c r="D11" s="72">
        <f t="shared" ref="D11:D12" si="3">C11</f>
        <v>1</v>
      </c>
      <c r="E11" s="8">
        <v>1.0</v>
      </c>
      <c r="F11" s="72">
        <f t="shared" ref="F11:F12" si="4">E11</f>
        <v>1</v>
      </c>
      <c r="G11" s="7" t="s">
        <v>564</v>
      </c>
    </row>
    <row r="12">
      <c r="A12" s="7" t="s">
        <v>145</v>
      </c>
      <c r="B12" s="72">
        <f>IFERROR(VLOOKUP(A12, 'Current Decisions'!A:G, 7, FALSE), "")</f>
        <v>20.6</v>
      </c>
      <c r="C12" s="8">
        <v>3.0</v>
      </c>
      <c r="D12" s="72">
        <f t="shared" si="3"/>
        <v>3</v>
      </c>
      <c r="E12" s="8">
        <v>3.0</v>
      </c>
      <c r="F12" s="72">
        <f t="shared" si="4"/>
        <v>3</v>
      </c>
      <c r="G12" s="7" t="s">
        <v>564</v>
      </c>
    </row>
    <row r="13">
      <c r="A13" s="7" t="s">
        <v>220</v>
      </c>
      <c r="B13" s="72">
        <f>IFERROR(VLOOKUP(A13, 'Current Decisions'!A:G, 7, FALSE), "")</f>
        <v>16.2</v>
      </c>
      <c r="C13" s="8">
        <v>1.0</v>
      </c>
      <c r="D13" s="7">
        <v>0.0</v>
      </c>
      <c r="E13" s="8">
        <v>1.0</v>
      </c>
      <c r="F13" s="7">
        <v>0.0</v>
      </c>
      <c r="G13" s="7" t="s">
        <v>565</v>
      </c>
    </row>
    <row r="14">
      <c r="A14" s="7" t="s">
        <v>96</v>
      </c>
      <c r="B14" s="72">
        <f>IFERROR(VLOOKUP(A14, 'Current Decisions'!A:G, 7, FALSE), "")</f>
        <v>12.5</v>
      </c>
      <c r="C14" s="8">
        <v>1.0</v>
      </c>
      <c r="D14" s="72">
        <f t="shared" ref="D14:D16" si="5">C14</f>
        <v>1</v>
      </c>
      <c r="E14" s="8">
        <v>1.0</v>
      </c>
      <c r="F14" s="72">
        <f t="shared" ref="F14:F16" si="6">E14</f>
        <v>1</v>
      </c>
      <c r="G14" s="7" t="s">
        <v>564</v>
      </c>
    </row>
    <row r="15">
      <c r="A15" s="7" t="s">
        <v>84</v>
      </c>
      <c r="B15" s="72">
        <f>IFERROR(VLOOKUP(A15, 'Current Decisions'!A:G, 7, FALSE), "")</f>
        <v>8.8</v>
      </c>
      <c r="C15" s="8">
        <v>2.0</v>
      </c>
      <c r="D15" s="72">
        <f t="shared" si="5"/>
        <v>2</v>
      </c>
      <c r="E15" s="8">
        <v>0.0</v>
      </c>
      <c r="F15" s="72">
        <f t="shared" si="6"/>
        <v>0</v>
      </c>
      <c r="G15" s="7" t="s">
        <v>564</v>
      </c>
    </row>
    <row r="16">
      <c r="A16" s="7" t="s">
        <v>22</v>
      </c>
      <c r="B16" s="72">
        <f>IFERROR(VLOOKUP(A16, 'Current Decisions'!A:G, 7, FALSE), "")</f>
        <v>5</v>
      </c>
      <c r="C16" s="8">
        <v>1.0</v>
      </c>
      <c r="D16" s="72">
        <f t="shared" si="5"/>
        <v>1</v>
      </c>
      <c r="E16" s="8">
        <v>1.0</v>
      </c>
      <c r="F16" s="72">
        <f t="shared" si="6"/>
        <v>1</v>
      </c>
      <c r="G16" s="7" t="s">
        <v>564</v>
      </c>
    </row>
    <row r="17">
      <c r="A17" s="7" t="s">
        <v>427</v>
      </c>
      <c r="B17" s="72">
        <f>IFERROR(VLOOKUP(A17, 'Current Decisions'!A:G, 7, FALSE), "")</f>
        <v>45.3</v>
      </c>
      <c r="C17" s="8">
        <v>0.0</v>
      </c>
      <c r="D17" s="7">
        <v>0.0</v>
      </c>
      <c r="E17" s="8">
        <v>1.0</v>
      </c>
      <c r="F17" s="7">
        <v>1.0</v>
      </c>
      <c r="G17" s="7" t="s">
        <v>564</v>
      </c>
    </row>
    <row r="18">
      <c r="A18" s="7" t="s">
        <v>430</v>
      </c>
      <c r="B18" s="72">
        <f>IFERROR(VLOOKUP(A18, 'Current Decisions'!A:G, 7, FALSE), "")</f>
        <v>10.5</v>
      </c>
      <c r="C18" s="7">
        <v>0.0</v>
      </c>
      <c r="D18" s="7">
        <v>0.0</v>
      </c>
      <c r="E18" s="7">
        <v>1.0</v>
      </c>
      <c r="F18" s="7">
        <v>1.0</v>
      </c>
      <c r="G18" s="7" t="s">
        <v>564</v>
      </c>
    </row>
    <row r="19">
      <c r="A19" s="7" t="s">
        <v>453</v>
      </c>
      <c r="B19" s="72">
        <f>IFERROR(VLOOKUP(A19, 'Current Decisions'!A:G, 7, FALSE), "")</f>
        <v>24.6</v>
      </c>
      <c r="C19" s="8">
        <v>0.0</v>
      </c>
      <c r="D19" s="7">
        <v>0.0</v>
      </c>
      <c r="E19" s="8">
        <v>1.0</v>
      </c>
      <c r="F19" s="7">
        <v>1.0</v>
      </c>
      <c r="G19" s="7" t="s">
        <v>564</v>
      </c>
    </row>
    <row r="21">
      <c r="J21" s="73"/>
    </row>
  </sheetData>
  <conditionalFormatting sqref="A2:G27">
    <cfRule type="expression" dxfId="5" priority="1">
      <formula>OR($G2="C",$G2="Confirmed in Symplicity")</formula>
    </cfRule>
  </conditionalFormatting>
  <conditionalFormatting sqref="A2:G27">
    <cfRule type="expression" dxfId="8" priority="2">
      <formula>OR($G2="W",$G2="W/R")</formula>
    </cfRule>
  </conditionalFormatting>
  <conditionalFormatting sqref="A2:G27">
    <cfRule type="expression" dxfId="6" priority="3">
      <formula>$G2="BTT"</formula>
    </cfRule>
  </conditionalFormatting>
  <conditionalFormatting sqref="A2:G27">
    <cfRule type="expression" dxfId="7" priority="4">
      <formula>$G2="R"</formula>
    </cfRule>
  </conditionalFormatting>
  <conditionalFormatting sqref="J26">
    <cfRule type="expression" dxfId="0" priority="5">
      <formula>$I53 &gt; 6</formula>
    </cfRule>
  </conditionalFormatting>
  <conditionalFormatting sqref="J26">
    <cfRule type="cellIs" dxfId="9" priority="6" operator="lessThan">
      <formula>-1</formula>
    </cfRule>
  </conditionalFormatting>
  <conditionalFormatting sqref="J26">
    <cfRule type="expression" dxfId="4" priority="7">
      <formula>$G53 &gt; 30</formula>
    </cfRule>
  </conditionalFormatting>
  <conditionalFormatting sqref="A31:H91">
    <cfRule type="expression" dxfId="5" priority="8">
      <formula>$G31 = "C"</formula>
    </cfRule>
  </conditionalFormatting>
  <conditionalFormatting sqref="A31:H91">
    <cfRule type="expression" dxfId="7" priority="9">
      <formula>$G31 = "UP"</formula>
    </cfRule>
  </conditionalFormatting>
  <conditionalFormatting sqref="A31:H91">
    <cfRule type="expression" dxfId="8" priority="10">
      <formula>AND($G31 = "", $A31 &lt;&gt; "")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9.0"/>
  </cols>
  <sheetData>
    <row r="1">
      <c r="A1" s="7" t="s">
        <v>566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4" t="s">
        <v>130</v>
      </c>
      <c r="B2" s="75">
        <f>IFERROR(VLOOKUP(A2, 'Current Decisions'!A:G, 7, FALSE), "")</f>
        <v>23.8</v>
      </c>
      <c r="C2" s="76">
        <v>1.0</v>
      </c>
      <c r="D2" s="75">
        <f t="shared" ref="D2:D6" si="1">C2</f>
        <v>1</v>
      </c>
      <c r="E2" s="76">
        <v>1.0</v>
      </c>
      <c r="F2" s="75">
        <f t="shared" ref="F2:F6" si="2">E2</f>
        <v>1</v>
      </c>
      <c r="G2" s="74" t="s">
        <v>564</v>
      </c>
    </row>
    <row r="3">
      <c r="A3" s="74" t="s">
        <v>137</v>
      </c>
      <c r="B3" s="75">
        <f>IFERROR(VLOOKUP(A3, 'Current Decisions'!A:G, 7, FALSE), "")</f>
        <v>22.5</v>
      </c>
      <c r="C3" s="76">
        <v>1.0</v>
      </c>
      <c r="D3" s="75">
        <f t="shared" si="1"/>
        <v>1</v>
      </c>
      <c r="E3" s="76">
        <v>1.0</v>
      </c>
      <c r="F3" s="75">
        <f t="shared" si="2"/>
        <v>1</v>
      </c>
      <c r="G3" s="74" t="s">
        <v>564</v>
      </c>
    </row>
    <row r="4">
      <c r="A4" s="74" t="s">
        <v>202</v>
      </c>
      <c r="B4" s="75">
        <f>IFERROR(VLOOKUP(A4, 'Current Decisions'!A:G, 7, FALSE), "")</f>
        <v>14.7</v>
      </c>
      <c r="C4" s="76">
        <v>1.0</v>
      </c>
      <c r="D4" s="75">
        <f t="shared" si="1"/>
        <v>1</v>
      </c>
      <c r="E4" s="76">
        <v>1.0</v>
      </c>
      <c r="F4" s="75">
        <f t="shared" si="2"/>
        <v>1</v>
      </c>
      <c r="G4" s="74" t="s">
        <v>564</v>
      </c>
    </row>
    <row r="5">
      <c r="A5" s="74" t="s">
        <v>240</v>
      </c>
      <c r="B5" s="75">
        <f>IFERROR(VLOOKUP(A5, 'Current Decisions'!A:G, 7, FALSE), "")</f>
        <v>24</v>
      </c>
      <c r="C5" s="76">
        <v>1.0</v>
      </c>
      <c r="D5" s="75">
        <f t="shared" si="1"/>
        <v>1</v>
      </c>
      <c r="E5" s="76">
        <v>0.0</v>
      </c>
      <c r="F5" s="75">
        <f t="shared" si="2"/>
        <v>0</v>
      </c>
      <c r="G5" s="74" t="s">
        <v>564</v>
      </c>
    </row>
    <row r="6">
      <c r="A6" s="74" t="s">
        <v>273</v>
      </c>
      <c r="B6" s="75">
        <f>IFERROR(VLOOKUP(A6, 'Current Decisions'!A:G, 7, FALSE), "")</f>
        <v>26</v>
      </c>
      <c r="C6" s="76">
        <v>1.0</v>
      </c>
      <c r="D6" s="75">
        <f t="shared" si="1"/>
        <v>1</v>
      </c>
      <c r="E6" s="76">
        <v>0.0</v>
      </c>
      <c r="F6" s="75">
        <f t="shared" si="2"/>
        <v>0</v>
      </c>
      <c r="G6" s="74" t="s">
        <v>564</v>
      </c>
    </row>
    <row r="7">
      <c r="A7" s="30" t="s">
        <v>401</v>
      </c>
      <c r="B7" s="77">
        <f>IFERROR(VLOOKUP(A7, 'Current Decisions'!A:G, 7, FALSE), "")</f>
        <v>8.2</v>
      </c>
      <c r="C7" s="67">
        <v>1.0</v>
      </c>
      <c r="D7" s="77"/>
      <c r="E7" s="67">
        <v>0.0</v>
      </c>
      <c r="F7" s="77"/>
      <c r="G7" s="30" t="s">
        <v>565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30" t="s">
        <v>402</v>
      </c>
      <c r="B8" s="77">
        <f>IFERROR(VLOOKUP(A8, 'Current Decisions'!A:G, 7, FALSE), "")</f>
        <v>10.5</v>
      </c>
      <c r="C8" s="67">
        <v>1.0</v>
      </c>
      <c r="D8" s="30"/>
      <c r="E8" s="67">
        <v>0.0</v>
      </c>
      <c r="F8" s="30"/>
      <c r="G8" s="30" t="s">
        <v>565</v>
      </c>
    </row>
    <row r="9">
      <c r="A9" s="30" t="s">
        <v>416</v>
      </c>
      <c r="B9" s="77">
        <f>IFERROR(VLOOKUP(A9, 'Current Decisions'!A:G, 7, FALSE), "")</f>
        <v>23.4</v>
      </c>
      <c r="C9" s="67">
        <v>1.0</v>
      </c>
      <c r="D9" s="30"/>
      <c r="E9" s="67">
        <v>0.0</v>
      </c>
      <c r="F9" s="30"/>
      <c r="G9" s="30" t="s">
        <v>565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</sheetData>
  <conditionalFormatting sqref="A2:G16">
    <cfRule type="expression" dxfId="5" priority="1">
      <formula>OR($G2="C",$G2="Confirmed in Symplicity")</formula>
    </cfRule>
  </conditionalFormatting>
  <conditionalFormatting sqref="A2:G16">
    <cfRule type="expression" dxfId="8" priority="2">
      <formula>OR($G2="W",$G2="W/R")</formula>
    </cfRule>
  </conditionalFormatting>
  <conditionalFormatting sqref="A2:G16">
    <cfRule type="expression" dxfId="6" priority="3">
      <formula>$G2="BTT"</formula>
    </cfRule>
  </conditionalFormatting>
  <conditionalFormatting sqref="A2:G16">
    <cfRule type="expression" dxfId="7" priority="4">
      <formula>$G2="R"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3.75"/>
  </cols>
  <sheetData>
    <row r="1">
      <c r="A1" s="7" t="s">
        <v>567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14"/>
      <c r="B2" s="16"/>
      <c r="C2" s="13"/>
      <c r="D2" s="14"/>
      <c r="E2" s="13"/>
      <c r="F2" s="14"/>
      <c r="G2" s="14"/>
    </row>
    <row r="3">
      <c r="A3" s="72"/>
      <c r="B3" s="19"/>
      <c r="C3" s="72"/>
      <c r="D3" s="72"/>
      <c r="E3" s="72"/>
      <c r="F3" s="72"/>
      <c r="G3" s="14"/>
      <c r="H3" s="78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14"/>
      <c r="B4" s="16"/>
      <c r="C4" s="16"/>
      <c r="D4" s="13"/>
      <c r="E4" s="16"/>
      <c r="F4" s="13"/>
      <c r="G4" s="14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16">
      <c r="A16" s="29"/>
    </row>
  </sheetData>
  <conditionalFormatting sqref="A3:G3">
    <cfRule type="expression" dxfId="5" priority="1">
      <formula>OR($G3="C",$G3="Confirmed in Symplicity")</formula>
    </cfRule>
  </conditionalFormatting>
  <conditionalFormatting sqref="A3:G3">
    <cfRule type="expression" dxfId="7" priority="2">
      <formula>#REF! = "R"</formula>
    </cfRule>
  </conditionalFormatting>
  <conditionalFormatting sqref="A3:G3">
    <cfRule type="expression" dxfId="8" priority="3">
      <formula>OR($G3="W",ISBLANK($G3))</formula>
    </cfRule>
  </conditionalFormatting>
  <conditionalFormatting sqref="A2:F2 G2:G31 A4:F31">
    <cfRule type="expression" dxfId="5" priority="4">
      <formula>OR($G2="C",$G2="Confirmed in Symplicity")</formula>
    </cfRule>
  </conditionalFormatting>
  <conditionalFormatting sqref="A2:F2 G2:G31 A4:F31">
    <cfRule type="expression" dxfId="8" priority="5">
      <formula>OR($G2="W",$G2="W/R")</formula>
    </cfRule>
  </conditionalFormatting>
  <conditionalFormatting sqref="A2:F2 G2:G31 A4:F31">
    <cfRule type="expression" dxfId="6" priority="6">
      <formula>$G2="BTT"</formula>
    </cfRule>
  </conditionalFormatting>
  <conditionalFormatting sqref="A2:F2 G2:G31 A4:F31">
    <cfRule type="expression" dxfId="7" priority="7">
      <formula>$G2="R"</formula>
    </cfRule>
  </conditionalFormatting>
  <conditionalFormatting sqref="J12">
    <cfRule type="expression" dxfId="0" priority="8">
      <formula>$I62 &gt; 6</formula>
    </cfRule>
  </conditionalFormatting>
  <conditionalFormatting sqref="J12">
    <cfRule type="cellIs" dxfId="9" priority="9" operator="lessThan">
      <formula>-1</formula>
    </cfRule>
  </conditionalFormatting>
  <conditionalFormatting sqref="J12">
    <cfRule type="expression" dxfId="4" priority="10">
      <formula>$G62 &gt; 30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7" max="7" width="18.38"/>
    <col customWidth="1" min="8" max="8" width="38.88"/>
  </cols>
  <sheetData>
    <row r="1">
      <c r="A1" s="7" t="s">
        <v>568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9" t="s">
        <v>218</v>
      </c>
      <c r="B2" s="80">
        <f>IFERROR(VLOOKUP(A2, 'Current Decisions'!A:G, 7, FALSE), "")</f>
        <v>1.5</v>
      </c>
      <c r="C2" s="79">
        <v>0.0</v>
      </c>
      <c r="D2" s="79">
        <v>0.0</v>
      </c>
      <c r="E2" s="79">
        <v>1.0</v>
      </c>
      <c r="F2" s="79">
        <v>1.0</v>
      </c>
      <c r="G2" s="7" t="s">
        <v>564</v>
      </c>
      <c r="H2" s="81"/>
    </row>
    <row r="3">
      <c r="A3" s="82" t="s">
        <v>243</v>
      </c>
      <c r="B3" s="83">
        <f>IFERROR(VLOOKUP(A3, 'Current Decisions'!A:G, 7, FALSE), "")</f>
        <v>15</v>
      </c>
      <c r="C3" s="82">
        <v>1.0</v>
      </c>
      <c r="D3" s="82"/>
      <c r="E3" s="82">
        <v>1.0</v>
      </c>
      <c r="F3" s="82"/>
      <c r="G3" s="30" t="s">
        <v>565</v>
      </c>
      <c r="H3" s="84"/>
      <c r="I3" s="85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</row>
    <row r="4">
      <c r="A4" s="79" t="s">
        <v>244</v>
      </c>
      <c r="B4" s="86">
        <f>IFERROR(VLOOKUP(A4, 'Current Decisions'!A:G, 7, FALSE), "")</f>
        <v>30.5</v>
      </c>
      <c r="C4" s="79">
        <v>0.0</v>
      </c>
      <c r="D4" s="79">
        <v>0.0</v>
      </c>
      <c r="E4" s="79">
        <v>1.0</v>
      </c>
      <c r="F4" s="79">
        <v>1.0</v>
      </c>
      <c r="G4" s="79" t="s">
        <v>564</v>
      </c>
      <c r="H4" s="87"/>
    </row>
    <row r="5">
      <c r="A5" s="79" t="s">
        <v>455</v>
      </c>
      <c r="B5" s="80">
        <f>IFERROR(VLOOKUP(A5, 'Current Decisions'!A:G, 7, FALSE), "")</f>
        <v>44.7</v>
      </c>
      <c r="C5" s="86">
        <v>1.0</v>
      </c>
      <c r="D5" s="79">
        <v>1.0</v>
      </c>
      <c r="E5" s="86">
        <v>1.0</v>
      </c>
      <c r="F5" s="79">
        <v>1.0</v>
      </c>
      <c r="G5" s="79" t="s">
        <v>564</v>
      </c>
      <c r="H5" s="87"/>
    </row>
    <row r="6">
      <c r="A6" s="81"/>
      <c r="B6" s="88"/>
      <c r="C6" s="87"/>
      <c r="D6" s="81"/>
      <c r="E6" s="87"/>
      <c r="F6" s="81"/>
      <c r="G6" s="79"/>
      <c r="H6" s="87"/>
    </row>
    <row r="7">
      <c r="A7" s="81"/>
      <c r="B7" s="88"/>
      <c r="C7" s="87"/>
      <c r="D7" s="81"/>
      <c r="E7" s="87"/>
      <c r="F7" s="81"/>
      <c r="G7" s="79"/>
      <c r="H7" s="87"/>
    </row>
    <row r="8">
      <c r="A8" s="79"/>
      <c r="B8" s="80"/>
      <c r="C8" s="86"/>
      <c r="D8" s="79"/>
      <c r="E8" s="86"/>
      <c r="F8" s="79"/>
      <c r="G8" s="79"/>
      <c r="H8" s="87"/>
      <c r="J8" s="29"/>
    </row>
    <row r="9">
      <c r="A9" s="81"/>
      <c r="B9" s="81"/>
      <c r="C9" s="79"/>
      <c r="D9" s="79"/>
      <c r="E9" s="79"/>
      <c r="F9" s="79"/>
      <c r="G9" s="79"/>
      <c r="H9" s="87"/>
    </row>
    <row r="10">
      <c r="A10" s="81"/>
      <c r="B10" s="87"/>
      <c r="C10" s="87"/>
      <c r="D10" s="79"/>
      <c r="E10" s="87"/>
      <c r="F10" s="79"/>
      <c r="G10" s="79"/>
      <c r="H10" s="87"/>
    </row>
    <row r="11">
      <c r="A11" s="79"/>
      <c r="B11" s="80"/>
      <c r="C11" s="86"/>
      <c r="D11" s="79"/>
      <c r="E11" s="79"/>
      <c r="F11" s="79"/>
      <c r="G11" s="79"/>
      <c r="H11" s="87"/>
    </row>
    <row r="12">
      <c r="A12" s="79"/>
      <c r="B12" s="80"/>
      <c r="C12" s="86"/>
      <c r="D12" s="79"/>
      <c r="E12" s="86"/>
      <c r="F12" s="79"/>
      <c r="G12" s="79"/>
      <c r="H12" s="87"/>
      <c r="I12" s="79"/>
      <c r="J12" s="80"/>
      <c r="K12" s="86"/>
      <c r="L12" s="79"/>
      <c r="M12" s="86"/>
      <c r="N12" s="79"/>
      <c r="O12" s="79"/>
      <c r="P12" s="87"/>
      <c r="Q12" s="79"/>
      <c r="R12" s="80"/>
      <c r="S12" s="86"/>
      <c r="T12" s="79"/>
      <c r="U12" s="86"/>
      <c r="V12" s="79"/>
      <c r="W12" s="79"/>
      <c r="X12" s="87"/>
      <c r="Y12" s="79"/>
      <c r="Z12" s="80"/>
      <c r="AA12" s="86"/>
      <c r="AB12" s="79"/>
      <c r="AC12" s="86"/>
      <c r="AD12" s="79"/>
      <c r="AE12" s="79"/>
      <c r="AF12" s="87"/>
      <c r="AG12" s="87"/>
      <c r="AH12" s="87"/>
      <c r="AI12" s="87"/>
      <c r="AJ12" s="87"/>
      <c r="AK12" s="87"/>
      <c r="AL12" s="87"/>
    </row>
  </sheetData>
  <conditionalFormatting sqref="G2">
    <cfRule type="expression" dxfId="8" priority="1">
      <formula>OR($G2="W", $G2="W/R",ISBLANK($G2))</formula>
    </cfRule>
  </conditionalFormatting>
  <conditionalFormatting sqref="G2">
    <cfRule type="expression" dxfId="10" priority="2">
      <formula>$G2="B"</formula>
    </cfRule>
  </conditionalFormatting>
  <conditionalFormatting sqref="A2:G4">
    <cfRule type="expression" dxfId="7" priority="3">
      <formula>$G2="R"</formula>
    </cfRule>
  </conditionalFormatting>
  <conditionalFormatting sqref="A2:G31 I12:O12 Q12:W12 Y12:AE12">
    <cfRule type="expression" dxfId="5" priority="4">
      <formula>OR($G2="C",$G2="Confirmed in Symplicity")</formula>
    </cfRule>
  </conditionalFormatting>
  <conditionalFormatting sqref="A2:G31 I12:O12 Q12:W12 Y12:AE12">
    <cfRule type="expression" dxfId="8" priority="5">
      <formula>OR($G2="W",$G2="W/R")</formula>
    </cfRule>
  </conditionalFormatting>
  <conditionalFormatting sqref="A2:G31 I12:O12 Q12:W12 Y12:AE12">
    <cfRule type="expression" dxfId="6" priority="6">
      <formula>$G2="BTT"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7" max="7" width="18.38"/>
    <col customWidth="1" min="8" max="8" width="19.88"/>
    <col customWidth="1" min="9" max="9" width="46.25"/>
    <col customWidth="1" min="10" max="10" width="16.5"/>
  </cols>
  <sheetData>
    <row r="1">
      <c r="A1" s="7" t="s">
        <v>569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89" t="s">
        <v>258</v>
      </c>
      <c r="B2" s="19">
        <f>IFERROR(VLOOKUP(A2, 'Current Decisions'!A:G, 7, FALSE), "")</f>
        <v>64</v>
      </c>
      <c r="C2" s="8">
        <v>2.0</v>
      </c>
      <c r="D2" s="72">
        <f t="shared" ref="D2:D4" si="1">C2</f>
        <v>2</v>
      </c>
      <c r="E2" s="8">
        <v>2.0</v>
      </c>
      <c r="F2" s="72">
        <f t="shared" ref="F2:F4" si="2">E2</f>
        <v>2</v>
      </c>
      <c r="G2" s="14" t="s">
        <v>564</v>
      </c>
    </row>
    <row r="3">
      <c r="A3" s="7" t="s">
        <v>78</v>
      </c>
      <c r="B3" s="72">
        <f>IFERROR(VLOOKUP(A3, 'Current Decisions'!A:G, 7, FALSE), "")</f>
        <v>60</v>
      </c>
      <c r="C3" s="8">
        <v>1.0</v>
      </c>
      <c r="D3" s="72">
        <f t="shared" si="1"/>
        <v>1</v>
      </c>
      <c r="E3" s="8">
        <v>0.0</v>
      </c>
      <c r="F3" s="72">
        <f t="shared" si="2"/>
        <v>0</v>
      </c>
      <c r="G3" s="14" t="s">
        <v>564</v>
      </c>
      <c r="H3" s="7" t="s">
        <v>570</v>
      </c>
    </row>
    <row r="4">
      <c r="A4" s="7" t="s">
        <v>88</v>
      </c>
      <c r="B4" s="72">
        <f>IFERROR(VLOOKUP(A4, 'Current Decisions'!A:G, 7, FALSE), "")</f>
        <v>59.5</v>
      </c>
      <c r="C4" s="8">
        <v>3.0</v>
      </c>
      <c r="D4" s="72">
        <f t="shared" si="1"/>
        <v>3</v>
      </c>
      <c r="E4" s="8">
        <v>3.0</v>
      </c>
      <c r="F4" s="72">
        <f t="shared" si="2"/>
        <v>3</v>
      </c>
      <c r="G4" s="14" t="s">
        <v>564</v>
      </c>
    </row>
    <row r="5" ht="15.0" customHeight="1">
      <c r="A5" s="30" t="s">
        <v>69</v>
      </c>
      <c r="B5" s="77">
        <f>IFERROR(VLOOKUP(A5, 'Current Decisions'!A:G, 7, FALSE), "")</f>
        <v>51.6</v>
      </c>
      <c r="C5" s="67">
        <v>2.0</v>
      </c>
      <c r="D5" s="30"/>
      <c r="E5" s="67">
        <v>0.0</v>
      </c>
      <c r="F5" s="77"/>
      <c r="G5" s="90" t="s">
        <v>565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</row>
    <row r="6">
      <c r="A6" s="7" t="s">
        <v>134</v>
      </c>
      <c r="B6" s="72">
        <f>IFERROR(VLOOKUP(A6, 'Current Decisions'!A:G, 7, FALSE), "")</f>
        <v>47.6</v>
      </c>
      <c r="C6" s="8">
        <v>1.0</v>
      </c>
      <c r="D6" s="72">
        <f t="shared" ref="D6:D8" si="3">C6</f>
        <v>1</v>
      </c>
      <c r="E6" s="8">
        <v>1.0</v>
      </c>
      <c r="F6" s="72">
        <f t="shared" ref="F6:F8" si="4">E6</f>
        <v>1</v>
      </c>
      <c r="G6" s="14" t="s">
        <v>564</v>
      </c>
    </row>
    <row r="7">
      <c r="A7" s="7" t="s">
        <v>165</v>
      </c>
      <c r="B7" s="72">
        <f>IFERROR(VLOOKUP(A7, 'Current Decisions'!A:G, 7, FALSE), "")</f>
        <v>46.7</v>
      </c>
      <c r="C7" s="8">
        <v>2.0</v>
      </c>
      <c r="D7" s="72">
        <f t="shared" si="3"/>
        <v>2</v>
      </c>
      <c r="E7" s="8">
        <v>2.0</v>
      </c>
      <c r="F7" s="72">
        <f t="shared" si="4"/>
        <v>2</v>
      </c>
      <c r="G7" s="14" t="s">
        <v>564</v>
      </c>
    </row>
    <row r="8">
      <c r="A8" s="7" t="s">
        <v>128</v>
      </c>
      <c r="B8" s="72">
        <f>IFERROR(VLOOKUP(A8, 'Current Decisions'!A:G, 7, FALSE), "")</f>
        <v>45.3</v>
      </c>
      <c r="C8" s="8">
        <v>1.0</v>
      </c>
      <c r="D8" s="72">
        <f t="shared" si="3"/>
        <v>1</v>
      </c>
      <c r="E8" s="8">
        <v>0.0</v>
      </c>
      <c r="F8" s="72">
        <f t="shared" si="4"/>
        <v>0</v>
      </c>
      <c r="G8" s="7" t="s">
        <v>564</v>
      </c>
    </row>
    <row r="9">
      <c r="A9" s="30" t="s">
        <v>117</v>
      </c>
      <c r="B9" s="77">
        <f>IFERROR(VLOOKUP(A9, 'Current Decisions'!A:G, 7, FALSE), "")</f>
        <v>44.8</v>
      </c>
      <c r="C9" s="67">
        <v>1.0</v>
      </c>
      <c r="D9" s="30">
        <v>0.0</v>
      </c>
      <c r="E9" s="67">
        <v>1.0</v>
      </c>
      <c r="F9" s="30">
        <v>0.0</v>
      </c>
      <c r="G9" s="30" t="s">
        <v>565</v>
      </c>
    </row>
    <row r="10">
      <c r="A10" s="7" t="s">
        <v>303</v>
      </c>
      <c r="B10" s="72">
        <f>IFERROR(VLOOKUP(A10, 'Current Decisions'!A:G, 7, FALSE), "")</f>
        <v>43.8</v>
      </c>
      <c r="C10" s="8">
        <v>2.0</v>
      </c>
      <c r="D10" s="7">
        <v>2.0</v>
      </c>
      <c r="E10" s="8">
        <v>0.0</v>
      </c>
      <c r="F10" s="7">
        <v>0.0</v>
      </c>
      <c r="G10" s="7" t="s">
        <v>564</v>
      </c>
    </row>
    <row r="11">
      <c r="A11" s="7" t="s">
        <v>295</v>
      </c>
      <c r="B11" s="19">
        <f>IFERROR(VLOOKUP(A11, 'Current Decisions'!A:G, 7, FALSE), "")</f>
        <v>42.7</v>
      </c>
      <c r="C11" s="8">
        <v>1.0</v>
      </c>
      <c r="D11" s="7">
        <v>1.0</v>
      </c>
      <c r="E11" s="8">
        <v>0.0</v>
      </c>
      <c r="F11" s="7">
        <v>0.0</v>
      </c>
      <c r="G11" s="7" t="s">
        <v>564</v>
      </c>
    </row>
    <row r="12">
      <c r="A12" s="91" t="s">
        <v>98</v>
      </c>
      <c r="B12" s="92">
        <f>IFERROR(VLOOKUP(A12, 'Current Decisions'!A:G, 7, FALSE), "")</f>
        <v>42.1</v>
      </c>
      <c r="C12" s="91">
        <v>1.0</v>
      </c>
      <c r="D12" s="72">
        <f>C12</f>
        <v>1</v>
      </c>
      <c r="E12" s="91">
        <v>1.0</v>
      </c>
      <c r="F12" s="72">
        <f>E12</f>
        <v>1</v>
      </c>
      <c r="G12" s="7" t="s">
        <v>564</v>
      </c>
    </row>
    <row r="13">
      <c r="A13" s="7" t="s">
        <v>391</v>
      </c>
      <c r="B13" s="72">
        <f>IFERROR(VLOOKUP(A13, 'Current Decisions'!A:G, 7, FALSE), "")</f>
        <v>42</v>
      </c>
      <c r="C13" s="8">
        <v>2.0</v>
      </c>
      <c r="D13" s="7">
        <v>2.0</v>
      </c>
      <c r="E13" s="8">
        <v>2.0</v>
      </c>
      <c r="F13" s="7">
        <v>2.0</v>
      </c>
      <c r="G13" s="7" t="s">
        <v>564</v>
      </c>
      <c r="I13" s="93"/>
    </row>
    <row r="14">
      <c r="A14" s="7" t="s">
        <v>20</v>
      </c>
      <c r="B14" s="72">
        <f>IFERROR(VLOOKUP(A14, 'Current Decisions'!A:G, 7, FALSE), "")</f>
        <v>41.9</v>
      </c>
      <c r="C14" s="8">
        <v>1.0</v>
      </c>
      <c r="D14" s="72">
        <f t="shared" ref="D14:D15" si="5">C14</f>
        <v>1</v>
      </c>
      <c r="E14" s="8">
        <v>0.0</v>
      </c>
      <c r="F14" s="72">
        <f t="shared" ref="F14:F15" si="6">E14</f>
        <v>0</v>
      </c>
      <c r="G14" s="14" t="s">
        <v>564</v>
      </c>
    </row>
    <row r="15">
      <c r="A15" s="7" t="s">
        <v>82</v>
      </c>
      <c r="B15" s="72">
        <f>IFERROR(VLOOKUP(A15, 'Current Decisions'!A:G, 7, FALSE), "")</f>
        <v>39.9</v>
      </c>
      <c r="C15" s="8">
        <v>2.0</v>
      </c>
      <c r="D15" s="72">
        <f t="shared" si="5"/>
        <v>2</v>
      </c>
      <c r="E15" s="8">
        <v>2.0</v>
      </c>
      <c r="F15" s="72">
        <f t="shared" si="6"/>
        <v>2</v>
      </c>
      <c r="G15" s="14" t="s">
        <v>564</v>
      </c>
    </row>
    <row r="16">
      <c r="A16" s="7" t="s">
        <v>384</v>
      </c>
      <c r="B16" s="8">
        <f>IFERROR(VLOOKUP(A16, 'Current Decisions'!A:G, 7, FALSE), "")</f>
        <v>38.4</v>
      </c>
      <c r="C16" s="8">
        <v>1.0</v>
      </c>
      <c r="D16" s="7">
        <v>2.0</v>
      </c>
      <c r="E16" s="7">
        <v>1.0</v>
      </c>
      <c r="F16" s="7">
        <v>2.0</v>
      </c>
      <c r="G16" s="7" t="s">
        <v>564</v>
      </c>
    </row>
    <row r="17">
      <c r="A17" s="7" t="s">
        <v>160</v>
      </c>
      <c r="B17" s="72">
        <f>IFERROR(VLOOKUP(A17, 'Current Decisions'!A:G, 7, FALSE), "")</f>
        <v>38.3</v>
      </c>
      <c r="C17" s="8">
        <v>2.0</v>
      </c>
      <c r="D17" s="72">
        <f>C17</f>
        <v>2</v>
      </c>
      <c r="E17" s="8">
        <v>2.0</v>
      </c>
      <c r="F17" s="72">
        <f>E17</f>
        <v>2</v>
      </c>
      <c r="G17" s="14" t="s">
        <v>564</v>
      </c>
    </row>
    <row r="18">
      <c r="A18" s="7" t="s">
        <v>357</v>
      </c>
      <c r="B18" s="72">
        <f>IFERROR(VLOOKUP(A18, 'Current Decisions'!A:G, 7, FALSE), "")</f>
        <v>36.7</v>
      </c>
      <c r="C18" s="8">
        <v>1.0</v>
      </c>
      <c r="D18" s="7">
        <v>1.0</v>
      </c>
      <c r="E18" s="8">
        <v>1.0</v>
      </c>
      <c r="F18" s="7">
        <v>1.0</v>
      </c>
      <c r="G18" s="7" t="s">
        <v>564</v>
      </c>
      <c r="I18" s="93"/>
    </row>
    <row r="19">
      <c r="A19" s="7" t="s">
        <v>320</v>
      </c>
      <c r="B19" s="94">
        <f>IFERROR(VLOOKUP(A19, 'Current Decisions'!A:G, 7, FALSE), "")</f>
        <v>35.8</v>
      </c>
      <c r="C19" s="8">
        <v>2.0</v>
      </c>
      <c r="D19" s="7">
        <v>2.0</v>
      </c>
      <c r="E19" s="8">
        <v>0.0</v>
      </c>
      <c r="F19" s="7">
        <v>0.0</v>
      </c>
      <c r="G19" s="7" t="s">
        <v>564</v>
      </c>
    </row>
    <row r="20">
      <c r="A20" s="7" t="s">
        <v>186</v>
      </c>
      <c r="B20" s="72">
        <f>IFERROR(VLOOKUP(A20, 'Current Decisions'!A:G, 7, FALSE), "")</f>
        <v>34.6</v>
      </c>
      <c r="C20" s="8">
        <v>3.0</v>
      </c>
      <c r="D20" s="72">
        <f t="shared" ref="D20:D22" si="7">C20</f>
        <v>3</v>
      </c>
      <c r="E20" s="8">
        <v>0.0</v>
      </c>
      <c r="F20" s="72">
        <f t="shared" ref="F20:F22" si="8">E20</f>
        <v>0</v>
      </c>
      <c r="G20" s="14" t="s">
        <v>564</v>
      </c>
    </row>
    <row r="21">
      <c r="A21" s="7" t="s">
        <v>254</v>
      </c>
      <c r="B21" s="72">
        <f>IFERROR(VLOOKUP(A21, 'Current Decisions'!A:G, 7, FALSE), "")</f>
        <v>31.5</v>
      </c>
      <c r="C21" s="8">
        <v>1.0</v>
      </c>
      <c r="D21" s="72">
        <f t="shared" si="7"/>
        <v>1</v>
      </c>
      <c r="E21" s="8">
        <v>0.0</v>
      </c>
      <c r="F21" s="72">
        <f t="shared" si="8"/>
        <v>0</v>
      </c>
      <c r="G21" s="14" t="s">
        <v>564</v>
      </c>
    </row>
    <row r="22">
      <c r="A22" s="7" t="s">
        <v>34</v>
      </c>
      <c r="B22" s="72">
        <f>IFERROR(VLOOKUP(A22, 'Current Decisions'!A:G, 7, FALSE), "")</f>
        <v>31.2</v>
      </c>
      <c r="C22" s="8">
        <v>1.0</v>
      </c>
      <c r="D22" s="72">
        <f t="shared" si="7"/>
        <v>1</v>
      </c>
      <c r="E22" s="8">
        <v>0.0</v>
      </c>
      <c r="F22" s="72">
        <f t="shared" si="8"/>
        <v>0</v>
      </c>
      <c r="G22" s="14" t="s">
        <v>564</v>
      </c>
    </row>
    <row r="23">
      <c r="A23" s="7" t="s">
        <v>368</v>
      </c>
      <c r="B23" s="8">
        <f>IFERROR(VLOOKUP(A23, 'Current Decisions'!A:G, 7, FALSE), "")</f>
        <v>31.2</v>
      </c>
      <c r="C23" s="8">
        <v>1.0</v>
      </c>
      <c r="D23" s="29">
        <v>1.0</v>
      </c>
      <c r="E23" s="7">
        <v>0.0</v>
      </c>
      <c r="F23" s="29">
        <v>0.0</v>
      </c>
      <c r="G23" s="7" t="s">
        <v>564</v>
      </c>
    </row>
    <row r="24">
      <c r="A24" s="7" t="s">
        <v>304</v>
      </c>
      <c r="B24" s="19">
        <f>IFERROR(VLOOKUP(A24, 'Current Decisions'!A:G, 7, FALSE), "")</f>
        <v>30.7</v>
      </c>
      <c r="C24" s="8">
        <v>2.0</v>
      </c>
      <c r="D24" s="7">
        <v>2.0</v>
      </c>
      <c r="E24" s="8">
        <v>0.0</v>
      </c>
      <c r="F24" s="7">
        <v>0.0</v>
      </c>
      <c r="G24" s="7" t="s">
        <v>564</v>
      </c>
    </row>
    <row r="25">
      <c r="A25" s="7" t="s">
        <v>282</v>
      </c>
      <c r="B25" s="72">
        <f>IFERROR(VLOOKUP(A25, 'Current Decisions'!A:G, 7, FALSE), "")</f>
        <v>30.1</v>
      </c>
      <c r="C25" s="8">
        <v>1.0</v>
      </c>
      <c r="D25" s="7">
        <v>1.0</v>
      </c>
      <c r="E25" s="8">
        <v>0.0</v>
      </c>
      <c r="F25" s="7">
        <v>0.0</v>
      </c>
      <c r="G25" s="7" t="s">
        <v>564</v>
      </c>
    </row>
    <row r="26">
      <c r="A26" s="7" t="s">
        <v>51</v>
      </c>
      <c r="B26" s="72">
        <f>IFERROR(VLOOKUP(A26, 'Current Decisions'!A:G, 7, FALSE), "")</f>
        <v>30</v>
      </c>
      <c r="C26" s="8">
        <v>1.0</v>
      </c>
      <c r="D26" s="72">
        <f t="shared" ref="D26:D29" si="9">C26</f>
        <v>1</v>
      </c>
      <c r="E26" s="8">
        <v>0.0</v>
      </c>
      <c r="F26" s="72">
        <f t="shared" ref="F26:F29" si="10">E26</f>
        <v>0</v>
      </c>
      <c r="G26" s="14" t="s">
        <v>564</v>
      </c>
    </row>
    <row r="27">
      <c r="A27" s="7" t="s">
        <v>265</v>
      </c>
      <c r="B27" s="72">
        <f>IFERROR(VLOOKUP(A27, 'Current Decisions'!A:G, 7, FALSE), "")</f>
        <v>26.8</v>
      </c>
      <c r="C27" s="8">
        <v>2.0</v>
      </c>
      <c r="D27" s="72">
        <f t="shared" si="9"/>
        <v>2</v>
      </c>
      <c r="E27" s="8">
        <v>0.0</v>
      </c>
      <c r="F27" s="72">
        <f t="shared" si="10"/>
        <v>0</v>
      </c>
      <c r="G27" s="14" t="s">
        <v>564</v>
      </c>
    </row>
    <row r="28">
      <c r="A28" s="7" t="s">
        <v>190</v>
      </c>
      <c r="B28" s="72">
        <f>IFERROR(VLOOKUP(A28, 'Current Decisions'!A:G, 7, FALSE), "")</f>
        <v>26.1</v>
      </c>
      <c r="C28" s="8">
        <v>1.0</v>
      </c>
      <c r="D28" s="72">
        <f t="shared" si="9"/>
        <v>1</v>
      </c>
      <c r="E28" s="8">
        <v>0.0</v>
      </c>
      <c r="F28" s="72">
        <f t="shared" si="10"/>
        <v>0</v>
      </c>
      <c r="G28" s="14" t="s">
        <v>564</v>
      </c>
    </row>
    <row r="29">
      <c r="A29" s="7" t="s">
        <v>129</v>
      </c>
      <c r="B29" s="72">
        <f>IFERROR(VLOOKUP(A29, 'Current Decisions'!A:G, 7, FALSE), "")</f>
        <v>25.3</v>
      </c>
      <c r="C29" s="8">
        <v>2.0</v>
      </c>
      <c r="D29" s="72">
        <f t="shared" si="9"/>
        <v>2</v>
      </c>
      <c r="E29" s="8">
        <v>2.0</v>
      </c>
      <c r="F29" s="72">
        <f t="shared" si="10"/>
        <v>2</v>
      </c>
      <c r="G29" s="14" t="s">
        <v>564</v>
      </c>
    </row>
    <row r="30">
      <c r="A30" s="7" t="s">
        <v>388</v>
      </c>
      <c r="B30" s="72">
        <f>IFERROR(VLOOKUP(A30, 'Current Decisions'!A:G, 7, FALSE), "")</f>
        <v>25.3</v>
      </c>
      <c r="C30" s="8">
        <v>2.0</v>
      </c>
      <c r="D30" s="7">
        <v>2.0</v>
      </c>
      <c r="E30" s="8">
        <v>0.0</v>
      </c>
      <c r="F30" s="7">
        <v>0.0</v>
      </c>
      <c r="G30" s="7" t="s">
        <v>564</v>
      </c>
    </row>
    <row r="31">
      <c r="A31" s="7" t="s">
        <v>226</v>
      </c>
      <c r="B31" s="72">
        <f>IFERROR(VLOOKUP(A31, 'Current Decisions'!A:G, 7, FALSE), "")</f>
        <v>23.8</v>
      </c>
      <c r="C31" s="8">
        <v>1.0</v>
      </c>
      <c r="D31" s="72">
        <f>C31</f>
        <v>1</v>
      </c>
      <c r="E31" s="8">
        <v>0.0</v>
      </c>
      <c r="F31" s="72">
        <f>E31</f>
        <v>0</v>
      </c>
      <c r="G31" s="14" t="s">
        <v>564</v>
      </c>
    </row>
    <row r="32">
      <c r="A32" s="7" t="s">
        <v>283</v>
      </c>
      <c r="B32" s="72">
        <f>IFERROR(VLOOKUP(A32, 'Current Decisions'!A:G, 7, FALSE), "")</f>
        <v>20</v>
      </c>
      <c r="C32" s="8">
        <v>1.0</v>
      </c>
      <c r="D32" s="7">
        <v>1.0</v>
      </c>
      <c r="E32" s="8">
        <v>1.0</v>
      </c>
      <c r="F32" s="7">
        <v>1.0</v>
      </c>
      <c r="G32" s="14" t="s">
        <v>564</v>
      </c>
    </row>
    <row r="33">
      <c r="A33" s="7" t="s">
        <v>347</v>
      </c>
      <c r="B33" s="72">
        <f>IFERROR(VLOOKUP(A33, 'Current Decisions'!A:G, 7, FALSE), "")</f>
        <v>19.9</v>
      </c>
      <c r="C33" s="8">
        <v>0.0</v>
      </c>
      <c r="D33" s="7">
        <v>0.0</v>
      </c>
      <c r="E33" s="8">
        <v>1.0</v>
      </c>
      <c r="F33" s="7">
        <v>1.0</v>
      </c>
      <c r="G33" s="7" t="s">
        <v>564</v>
      </c>
    </row>
    <row r="34">
      <c r="A34" s="7" t="s">
        <v>370</v>
      </c>
      <c r="B34" s="72">
        <f>IFERROR(VLOOKUP(A34, 'Current Decisions'!A:G, 7, FALSE), "")</f>
        <v>19.5</v>
      </c>
      <c r="C34" s="8">
        <v>1.0</v>
      </c>
      <c r="D34" s="7">
        <v>1.0</v>
      </c>
      <c r="E34" s="8">
        <v>1.0</v>
      </c>
      <c r="F34" s="7">
        <v>1.0</v>
      </c>
      <c r="G34" s="7" t="s">
        <v>564</v>
      </c>
    </row>
    <row r="35">
      <c r="A35" s="7" t="s">
        <v>21</v>
      </c>
      <c r="B35" s="72">
        <f>IFERROR(VLOOKUP(A35, 'Current Decisions'!A:G, 7, FALSE), "")</f>
        <v>18.8</v>
      </c>
      <c r="C35" s="8">
        <v>1.0</v>
      </c>
      <c r="D35" s="72">
        <f t="shared" ref="D35:D36" si="11">C35</f>
        <v>1</v>
      </c>
      <c r="E35" s="8">
        <v>0.0</v>
      </c>
      <c r="F35" s="72">
        <f t="shared" ref="F35:F36" si="12">E35</f>
        <v>0</v>
      </c>
      <c r="G35" s="14" t="s">
        <v>564</v>
      </c>
    </row>
    <row r="36">
      <c r="A36" s="7" t="s">
        <v>66</v>
      </c>
      <c r="B36" s="72">
        <f>IFERROR(VLOOKUP(A36, 'Current Decisions'!A:G, 7, FALSE), "")</f>
        <v>18</v>
      </c>
      <c r="C36" s="8">
        <v>4.0</v>
      </c>
      <c r="D36" s="72">
        <f t="shared" si="11"/>
        <v>4</v>
      </c>
      <c r="E36" s="8">
        <v>4.0</v>
      </c>
      <c r="F36" s="72">
        <f t="shared" si="12"/>
        <v>4</v>
      </c>
      <c r="G36" s="7" t="s">
        <v>564</v>
      </c>
    </row>
    <row r="37">
      <c r="A37" s="7" t="s">
        <v>343</v>
      </c>
      <c r="B37" s="19">
        <f>IFERROR(VLOOKUP(A37, 'Current Decisions'!A:G, 7, FALSE), "")</f>
        <v>17.2</v>
      </c>
      <c r="C37" s="8">
        <v>1.0</v>
      </c>
      <c r="D37" s="7">
        <v>1.0</v>
      </c>
      <c r="E37" s="8">
        <v>1.0</v>
      </c>
      <c r="F37" s="7">
        <v>1.0</v>
      </c>
      <c r="G37" s="7" t="s">
        <v>564</v>
      </c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>
      <c r="A38" s="7" t="s">
        <v>369</v>
      </c>
      <c r="B38" s="19">
        <f>IFERROR(VLOOKUP(A38, 'Current Decisions'!A:G, 7, FALSE), "")</f>
        <v>17.2</v>
      </c>
      <c r="C38" s="8">
        <v>0.0</v>
      </c>
      <c r="D38" s="29">
        <v>0.0</v>
      </c>
      <c r="E38" s="8">
        <v>1.0</v>
      </c>
      <c r="F38" s="29">
        <v>1.0</v>
      </c>
      <c r="G38" s="7" t="s">
        <v>564</v>
      </c>
    </row>
    <row r="39">
      <c r="A39" s="7" t="s">
        <v>390</v>
      </c>
      <c r="B39" s="72">
        <f>IFERROR(VLOOKUP(A39, 'Current Decisions'!A:G, 7, FALSE), "")</f>
        <v>15.3</v>
      </c>
      <c r="C39" s="8">
        <v>1.0</v>
      </c>
      <c r="E39" s="8">
        <v>0.0</v>
      </c>
      <c r="G39" s="7" t="s">
        <v>571</v>
      </c>
    </row>
    <row r="40">
      <c r="A40" s="7" t="s">
        <v>176</v>
      </c>
      <c r="B40" s="72">
        <f>IFERROR(VLOOKUP(A40, 'Current Decisions'!A:G, 7, FALSE), "")</f>
        <v>15</v>
      </c>
      <c r="C40" s="8">
        <v>2.0</v>
      </c>
      <c r="D40" s="72">
        <f>C40</f>
        <v>2</v>
      </c>
      <c r="E40" s="8">
        <v>2.0</v>
      </c>
      <c r="F40" s="72">
        <f>E40</f>
        <v>2</v>
      </c>
      <c r="G40" s="14" t="s">
        <v>564</v>
      </c>
    </row>
    <row r="41">
      <c r="A41" s="7" t="s">
        <v>329</v>
      </c>
      <c r="B41" s="72">
        <f>IFERROR(VLOOKUP(A41, 'Current Decisions'!A:G, 7, FALSE), "")</f>
        <v>8</v>
      </c>
      <c r="C41" s="8">
        <v>1.0</v>
      </c>
      <c r="D41" s="7">
        <v>1.0</v>
      </c>
      <c r="E41" s="8">
        <v>0.0</v>
      </c>
      <c r="F41" s="7">
        <v>0.0</v>
      </c>
      <c r="G41" s="7" t="s">
        <v>564</v>
      </c>
      <c r="H41" s="77"/>
    </row>
    <row r="42">
      <c r="A42" s="7" t="s">
        <v>302</v>
      </c>
      <c r="B42" s="72">
        <f>IFERROR(VLOOKUP(A42, 'Current Decisions'!A:G, 7, FALSE), "")</f>
        <v>7.2</v>
      </c>
      <c r="C42" s="8">
        <v>1.0</v>
      </c>
      <c r="D42" s="7">
        <v>1.0</v>
      </c>
      <c r="E42" s="8">
        <v>1.0</v>
      </c>
      <c r="F42" s="7">
        <v>1.0</v>
      </c>
      <c r="G42" s="7" t="s">
        <v>564</v>
      </c>
    </row>
    <row r="43">
      <c r="A43" s="7" t="s">
        <v>65</v>
      </c>
      <c r="B43" s="72">
        <f>IFERROR(VLOOKUP(A43, 'Current Decisions'!A:G, 7, FALSE), "")</f>
        <v>6.7</v>
      </c>
      <c r="C43" s="8">
        <v>2.0</v>
      </c>
      <c r="D43" s="72">
        <f>C43</f>
        <v>2</v>
      </c>
      <c r="E43" s="8">
        <v>2.0</v>
      </c>
      <c r="F43" s="72">
        <f>E43</f>
        <v>2</v>
      </c>
      <c r="G43" s="14" t="s">
        <v>564</v>
      </c>
    </row>
    <row r="44">
      <c r="A44" s="7" t="s">
        <v>289</v>
      </c>
      <c r="B44" s="13">
        <f>IFERROR(VLOOKUP(A44, 'Current Decisions'!A:G, 7, FALSE), "")</f>
        <v>6.7</v>
      </c>
      <c r="C44" s="13">
        <v>0.0</v>
      </c>
      <c r="D44" s="95">
        <v>0.0</v>
      </c>
      <c r="E44" s="13">
        <v>1.0</v>
      </c>
      <c r="F44" s="96">
        <v>1.0</v>
      </c>
      <c r="G44" s="7" t="s">
        <v>564</v>
      </c>
    </row>
    <row r="45">
      <c r="A45" s="7" t="s">
        <v>136</v>
      </c>
      <c r="B45" s="72">
        <f>IFERROR(VLOOKUP(A45, 'Current Decisions'!A:G, 7, FALSE), "")</f>
        <v>6.5</v>
      </c>
      <c r="C45" s="8">
        <v>1.0</v>
      </c>
      <c r="D45" s="7">
        <v>1.0</v>
      </c>
      <c r="E45" s="8">
        <v>0.0</v>
      </c>
      <c r="F45" s="7">
        <v>0.0</v>
      </c>
      <c r="G45" s="14" t="s">
        <v>564</v>
      </c>
    </row>
    <row r="46">
      <c r="A46" s="7" t="s">
        <v>227</v>
      </c>
      <c r="B46" s="72">
        <f>IFERROR(VLOOKUP(A46, 'Current Decisions'!A:G, 7, FALSE), "")</f>
        <v>0</v>
      </c>
      <c r="C46" s="7">
        <v>0.0</v>
      </c>
      <c r="D46" s="7">
        <v>0.0</v>
      </c>
      <c r="E46" s="7">
        <v>1.0</v>
      </c>
      <c r="F46" s="7">
        <v>1.0</v>
      </c>
      <c r="G46" s="14" t="s">
        <v>564</v>
      </c>
    </row>
    <row r="47">
      <c r="A47" s="7" t="s">
        <v>411</v>
      </c>
      <c r="B47" s="72">
        <f>IFERROR(VLOOKUP(A47, 'Current Decisions'!A:G, 7, FALSE), "")</f>
        <v>39.5</v>
      </c>
      <c r="C47" s="8">
        <v>2.0</v>
      </c>
      <c r="D47" s="7">
        <v>2.0</v>
      </c>
      <c r="E47" s="8">
        <v>0.0</v>
      </c>
      <c r="F47" s="7">
        <v>0.0</v>
      </c>
      <c r="G47" s="7" t="s">
        <v>564</v>
      </c>
      <c r="H47" s="7" t="s">
        <v>572</v>
      </c>
    </row>
    <row r="48">
      <c r="A48" s="7" t="s">
        <v>425</v>
      </c>
      <c r="B48" s="72">
        <f>IFERROR(VLOOKUP(A48, 'Current Decisions'!A:G, 7, FALSE), "")</f>
        <v>0</v>
      </c>
      <c r="C48" s="7">
        <v>0.0</v>
      </c>
      <c r="D48" s="7">
        <v>0.0</v>
      </c>
      <c r="E48" s="7">
        <v>1.0</v>
      </c>
      <c r="F48" s="7">
        <v>1.0</v>
      </c>
      <c r="G48" s="7" t="s">
        <v>573</v>
      </c>
    </row>
    <row r="49">
      <c r="A49" s="7" t="s">
        <v>429</v>
      </c>
      <c r="B49" s="72">
        <f>IFERROR(VLOOKUP(A49, 'Current Decisions'!A:G, 7, FALSE), "")</f>
        <v>25.3</v>
      </c>
      <c r="C49" s="8">
        <v>1.0</v>
      </c>
      <c r="D49" s="7">
        <v>1.0</v>
      </c>
      <c r="E49" s="8">
        <v>0.0</v>
      </c>
      <c r="F49" s="7">
        <v>0.0</v>
      </c>
      <c r="G49" s="7" t="s">
        <v>564</v>
      </c>
    </row>
    <row r="50">
      <c r="A50" s="7" t="s">
        <v>454</v>
      </c>
      <c r="B50" s="97">
        <f>IFERROR(VLOOKUP(A50, 'Current Decisions'!A:G, 7, FALSE), "")</f>
        <v>19.94</v>
      </c>
      <c r="C50" s="8">
        <v>1.0</v>
      </c>
      <c r="D50" s="7">
        <v>0.0</v>
      </c>
      <c r="E50" s="8">
        <v>0.0</v>
      </c>
      <c r="F50" s="7">
        <v>1.0</v>
      </c>
      <c r="G50" s="7" t="s">
        <v>573</v>
      </c>
    </row>
    <row r="51">
      <c r="A51" s="7" t="s">
        <v>464</v>
      </c>
      <c r="B51" s="72">
        <f>IFERROR(VLOOKUP(A51, 'Current Decisions'!A:G, 7, FALSE), "")</f>
        <v>21.5</v>
      </c>
      <c r="C51" s="8">
        <v>0.0</v>
      </c>
      <c r="D51" s="7">
        <v>0.0</v>
      </c>
      <c r="E51" s="8">
        <v>1.0</v>
      </c>
      <c r="F51" s="7">
        <v>1.0</v>
      </c>
      <c r="G51" s="7" t="s">
        <v>564</v>
      </c>
    </row>
    <row r="52">
      <c r="A52" s="7" t="s">
        <v>477</v>
      </c>
      <c r="B52" s="72">
        <f>IFERROR(VLOOKUP(A52, 'Current Decisions'!A:G, 7, FALSE), "")</f>
        <v>54.7</v>
      </c>
      <c r="C52" s="8">
        <v>1.0</v>
      </c>
      <c r="D52" s="7">
        <v>0.0</v>
      </c>
      <c r="E52" s="8">
        <v>1.0</v>
      </c>
      <c r="F52" s="7">
        <v>1.0</v>
      </c>
      <c r="G52" s="7" t="s">
        <v>573</v>
      </c>
      <c r="H52" s="7"/>
    </row>
    <row r="53">
      <c r="A53" s="7" t="s">
        <v>499</v>
      </c>
      <c r="B53" s="72">
        <f>IFERROR(VLOOKUP(A53, 'Current Decisions'!A:G, 7, FALSE), "")</f>
        <v>38.1</v>
      </c>
      <c r="C53" s="7">
        <v>0.0</v>
      </c>
      <c r="D53" s="7">
        <v>0.0</v>
      </c>
      <c r="E53" s="7">
        <v>1.0</v>
      </c>
      <c r="F53" s="7">
        <v>1.0</v>
      </c>
      <c r="G53" s="7" t="s">
        <v>564</v>
      </c>
    </row>
    <row r="58">
      <c r="A58" s="98"/>
    </row>
  </sheetData>
  <conditionalFormatting sqref="G2:G24 G29">
    <cfRule type="expression" dxfId="8" priority="1">
      <formula>OR($G2="W",$G2="W/R")</formula>
    </cfRule>
  </conditionalFormatting>
  <conditionalFormatting sqref="G2:G24 G29">
    <cfRule type="expression" dxfId="7" priority="2">
      <formula>$G2="R"</formula>
    </cfRule>
  </conditionalFormatting>
  <conditionalFormatting sqref="A2:G237">
    <cfRule type="expression" dxfId="5" priority="3">
      <formula>OR($G2="C",$G2="Confirmed in Symplicity")</formula>
    </cfRule>
  </conditionalFormatting>
  <conditionalFormatting sqref="A2:G490">
    <cfRule type="expression" dxfId="6" priority="4">
      <formula>$G2="BTT"</formula>
    </cfRule>
  </conditionalFormatting>
  <conditionalFormatting sqref="A20:F20 G20:G22">
    <cfRule type="expression" dxfId="8" priority="5">
      <formula>OR($G20="W", ISBLANK($G20))</formula>
    </cfRule>
  </conditionalFormatting>
  <conditionalFormatting sqref="A1:C19 D1:D27 E1:E19 F1:F27 G1:G19 A21:C24 E21:E24 G21:G24 G29">
    <cfRule type="expression" dxfId="7" priority="6">
      <formula>$G2 = "R"</formula>
    </cfRule>
  </conditionalFormatting>
  <conditionalFormatting sqref="A2:G43">
    <cfRule type="expression" dxfId="8" priority="7">
      <formula>OR($G2="W",ISBLANK($G2))</formula>
    </cfRule>
  </conditionalFormatting>
  <conditionalFormatting sqref="H11:H16">
    <cfRule type="notContainsBlanks" dxfId="4" priority="8">
      <formula>LEN(TRIM(H11))&gt;0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7" max="7" width="21.0"/>
    <col customWidth="1" min="8" max="10" width="28.25"/>
  </cols>
  <sheetData>
    <row r="1">
      <c r="A1" s="7" t="s">
        <v>574</v>
      </c>
      <c r="B1" s="43" t="s">
        <v>563</v>
      </c>
      <c r="C1" s="43" t="s">
        <v>8</v>
      </c>
      <c r="D1" s="43" t="s">
        <v>9</v>
      </c>
      <c r="E1" s="43" t="s">
        <v>10</v>
      </c>
      <c r="F1" s="43" t="s">
        <v>11</v>
      </c>
      <c r="G1" s="7" t="s">
        <v>7</v>
      </c>
    </row>
    <row r="2">
      <c r="A2" s="7" t="s">
        <v>251</v>
      </c>
      <c r="B2" s="72">
        <f>IFERROR(VLOOKUP(A2, 'Current Decisions'!A:G, 7, FALSE), "")</f>
        <v>47.5</v>
      </c>
      <c r="C2" s="8">
        <v>1.0</v>
      </c>
      <c r="D2" s="72">
        <f t="shared" ref="D2:D5" si="1">C2</f>
        <v>1</v>
      </c>
      <c r="E2" s="8">
        <v>0.0</v>
      </c>
      <c r="F2" s="72">
        <f t="shared" ref="F2:F5" si="2">E2</f>
        <v>0</v>
      </c>
      <c r="G2" s="99" t="s">
        <v>564</v>
      </c>
    </row>
    <row r="3">
      <c r="A3" s="7" t="s">
        <v>56</v>
      </c>
      <c r="B3" s="19">
        <f>IFERROR(VLOOKUP(A3, 'Current Decisions'!A:G, 7, FALSE), "")</f>
        <v>45.3</v>
      </c>
      <c r="C3" s="8">
        <v>1.0</v>
      </c>
      <c r="D3" s="72">
        <f t="shared" si="1"/>
        <v>1</v>
      </c>
      <c r="E3" s="8">
        <v>0.0</v>
      </c>
      <c r="F3" s="72">
        <f t="shared" si="2"/>
        <v>0</v>
      </c>
      <c r="G3" s="99" t="s">
        <v>564</v>
      </c>
    </row>
    <row r="4">
      <c r="A4" s="7" t="s">
        <v>30</v>
      </c>
      <c r="B4" s="19">
        <f>IFERROR(VLOOKUP(A4, 'Current Decisions'!A:G, 7, FALSE), "")</f>
        <v>42</v>
      </c>
      <c r="C4" s="8">
        <v>1.0</v>
      </c>
      <c r="D4" s="72">
        <f t="shared" si="1"/>
        <v>1</v>
      </c>
      <c r="E4" s="8">
        <v>0.0</v>
      </c>
      <c r="F4" s="72">
        <f t="shared" si="2"/>
        <v>0</v>
      </c>
      <c r="G4" s="99" t="s">
        <v>564</v>
      </c>
    </row>
    <row r="5">
      <c r="A5" s="7" t="s">
        <v>23</v>
      </c>
      <c r="B5" s="72">
        <f>IFERROR(VLOOKUP(A5, 'Current Decisions'!A:G, 7, FALSE), "")</f>
        <v>40.3</v>
      </c>
      <c r="C5" s="8">
        <v>1.0</v>
      </c>
      <c r="D5" s="72">
        <f t="shared" si="1"/>
        <v>1</v>
      </c>
      <c r="E5" s="8">
        <v>0.0</v>
      </c>
      <c r="F5" s="72">
        <f t="shared" si="2"/>
        <v>0</v>
      </c>
      <c r="G5" s="99" t="s">
        <v>564</v>
      </c>
      <c r="I5" s="100"/>
    </row>
    <row r="6">
      <c r="A6" s="7" t="s">
        <v>406</v>
      </c>
      <c r="B6" s="19">
        <f>IFERROR(VLOOKUP(A6, 'Current Decisions'!A:G, 7, FALSE), "")</f>
        <v>36.7</v>
      </c>
      <c r="C6" s="8">
        <v>0.0</v>
      </c>
      <c r="D6" s="7">
        <v>0.0</v>
      </c>
      <c r="E6" s="8">
        <v>1.0</v>
      </c>
      <c r="F6" s="7">
        <v>1.0</v>
      </c>
      <c r="G6" s="101" t="s">
        <v>564</v>
      </c>
      <c r="I6" s="100"/>
    </row>
    <row r="7">
      <c r="A7" s="7" t="s">
        <v>195</v>
      </c>
      <c r="B7" s="72">
        <f>IFERROR(VLOOKUP(A7, 'Current Decisions'!A:G, 7, FALSE), "")</f>
        <v>32.7</v>
      </c>
      <c r="C7" s="8">
        <v>1.0</v>
      </c>
      <c r="D7" s="72">
        <f t="shared" ref="D7:D8" si="3">C7</f>
        <v>1</v>
      </c>
      <c r="E7" s="8">
        <v>1.0</v>
      </c>
      <c r="F7" s="72">
        <f t="shared" ref="F7:F8" si="4">E7</f>
        <v>1</v>
      </c>
      <c r="G7" s="99" t="s">
        <v>564</v>
      </c>
    </row>
    <row r="8">
      <c r="A8" s="102" t="s">
        <v>58</v>
      </c>
      <c r="B8" s="103">
        <f>IFERROR(VLOOKUP(A8, 'Current Decisions'!A:G, 7, FALSE), "")</f>
        <v>29.7</v>
      </c>
      <c r="C8" s="102">
        <v>1.0</v>
      </c>
      <c r="D8" s="72">
        <f t="shared" si="3"/>
        <v>1</v>
      </c>
      <c r="E8" s="102">
        <v>1.0</v>
      </c>
      <c r="F8" s="72">
        <f t="shared" si="4"/>
        <v>1</v>
      </c>
      <c r="G8" s="99" t="s">
        <v>564</v>
      </c>
    </row>
    <row r="9">
      <c r="A9" s="7" t="s">
        <v>285</v>
      </c>
      <c r="B9" s="72">
        <f>IFERROR(VLOOKUP(A9, 'Current Decisions'!A:G, 7, FALSE), "")</f>
        <v>28</v>
      </c>
      <c r="C9" s="7">
        <v>2.0</v>
      </c>
      <c r="D9" s="7">
        <v>2.0</v>
      </c>
      <c r="E9" s="8">
        <v>0.0</v>
      </c>
      <c r="F9" s="7">
        <v>0.0</v>
      </c>
      <c r="G9" s="99" t="s">
        <v>564</v>
      </c>
    </row>
    <row r="10">
      <c r="A10" s="7" t="s">
        <v>309</v>
      </c>
      <c r="B10" s="19">
        <f>IFERROR(VLOOKUP(A10, 'Current Decisions'!A:G, 7, FALSE), "")</f>
        <v>22.2</v>
      </c>
      <c r="C10" s="8">
        <v>1.0</v>
      </c>
      <c r="D10" s="29">
        <v>1.0</v>
      </c>
      <c r="E10" s="8">
        <v>1.0</v>
      </c>
      <c r="F10" s="29">
        <v>1.0</v>
      </c>
      <c r="G10" s="99" t="s">
        <v>564</v>
      </c>
    </row>
    <row r="11">
      <c r="A11" s="7" t="s">
        <v>146</v>
      </c>
      <c r="B11" s="72">
        <f>IFERROR(VLOOKUP(A11, 'Current Decisions'!A:G, 7, FALSE), "")</f>
        <v>21.5</v>
      </c>
      <c r="C11" s="8">
        <v>1.0</v>
      </c>
      <c r="D11" s="72">
        <f>C11</f>
        <v>1</v>
      </c>
      <c r="E11" s="8">
        <v>0.0</v>
      </c>
      <c r="F11" s="72">
        <f>E11</f>
        <v>0</v>
      </c>
      <c r="G11" s="99" t="s">
        <v>564</v>
      </c>
    </row>
    <row r="12">
      <c r="A12" s="7" t="s">
        <v>242</v>
      </c>
      <c r="B12" s="72">
        <f>IFERROR(VLOOKUP(A12, 'Current Decisions'!A:G, 7, FALSE), "")</f>
        <v>20</v>
      </c>
      <c r="C12" s="8">
        <v>1.0</v>
      </c>
      <c r="D12" s="7">
        <v>0.0</v>
      </c>
      <c r="E12" s="8">
        <v>1.0</v>
      </c>
      <c r="F12" s="7">
        <v>1.0</v>
      </c>
      <c r="G12" s="99" t="s">
        <v>564</v>
      </c>
    </row>
    <row r="13">
      <c r="A13" s="7" t="s">
        <v>257</v>
      </c>
      <c r="B13" s="19">
        <f>IFERROR(VLOOKUP(A13, 'Current Decisions'!A:G, 7, FALSE), "")</f>
        <v>17</v>
      </c>
      <c r="C13" s="8">
        <v>1.0</v>
      </c>
      <c r="D13" s="72">
        <f>C13</f>
        <v>1</v>
      </c>
      <c r="E13" s="8">
        <v>0.0</v>
      </c>
      <c r="F13" s="72">
        <f>E13</f>
        <v>0</v>
      </c>
      <c r="G13" s="99" t="s">
        <v>564</v>
      </c>
    </row>
    <row r="14">
      <c r="A14" s="7" t="s">
        <v>365</v>
      </c>
      <c r="B14" s="19">
        <f>IFERROR(VLOOKUP(A14, 'Current Decisions'!A:G, 7, FALSE), "")</f>
        <v>15</v>
      </c>
      <c r="C14" s="8">
        <v>1.0</v>
      </c>
      <c r="D14" s="7">
        <v>1.0</v>
      </c>
      <c r="E14" s="8">
        <v>1.0</v>
      </c>
      <c r="F14" s="7">
        <v>1.0</v>
      </c>
      <c r="G14" s="99" t="s">
        <v>564</v>
      </c>
      <c r="H14" s="29"/>
    </row>
    <row r="15">
      <c r="A15" s="7" t="s">
        <v>54</v>
      </c>
      <c r="B15" s="19">
        <f>IFERROR(VLOOKUP(A15, 'Current Decisions'!A:G, 7, FALSE), "")</f>
        <v>14.1</v>
      </c>
      <c r="C15" s="8">
        <v>1.0</v>
      </c>
      <c r="D15" s="72">
        <f t="shared" ref="D15:D16" si="5">C15</f>
        <v>1</v>
      </c>
      <c r="E15" s="8">
        <v>1.0</v>
      </c>
      <c r="F15" s="72">
        <f t="shared" ref="F15:F16" si="6">E15</f>
        <v>1</v>
      </c>
      <c r="G15" s="99" t="s">
        <v>564</v>
      </c>
    </row>
    <row r="16">
      <c r="A16" s="7" t="s">
        <v>234</v>
      </c>
      <c r="B16" s="72">
        <f>IFERROR(VLOOKUP(A16, 'Current Decisions'!A:G, 7, FALSE), "")</f>
        <v>9.5</v>
      </c>
      <c r="C16" s="8">
        <v>1.0</v>
      </c>
      <c r="D16" s="72">
        <f t="shared" si="5"/>
        <v>1</v>
      </c>
      <c r="E16" s="8">
        <v>0.0</v>
      </c>
      <c r="F16" s="72">
        <f t="shared" si="6"/>
        <v>0</v>
      </c>
      <c r="G16" s="99" t="s">
        <v>564</v>
      </c>
    </row>
    <row r="17">
      <c r="A17" s="7" t="s">
        <v>410</v>
      </c>
      <c r="B17" s="72">
        <f>IFERROR(VLOOKUP(A17, 'Current Decisions'!A:G, 7, FALSE), "")</f>
        <v>52.7</v>
      </c>
      <c r="C17" s="8">
        <v>2.0</v>
      </c>
      <c r="D17" s="7">
        <v>2.0</v>
      </c>
      <c r="E17" s="8">
        <v>0.0</v>
      </c>
      <c r="F17" s="7">
        <v>0.0</v>
      </c>
      <c r="G17" s="99" t="s">
        <v>564</v>
      </c>
      <c r="H17" s="7" t="s">
        <v>572</v>
      </c>
    </row>
    <row r="18">
      <c r="A18" s="7" t="s">
        <v>423</v>
      </c>
      <c r="B18" s="19">
        <f>IFERROR(VLOOKUP(A18, 'Current Decisions'!A:G, 7, FALSE), "")</f>
        <v>15.5</v>
      </c>
      <c r="C18" s="7">
        <v>0.0</v>
      </c>
      <c r="D18" s="7">
        <v>0.0</v>
      </c>
      <c r="E18" s="7">
        <v>1.0</v>
      </c>
      <c r="F18" s="7">
        <v>1.0</v>
      </c>
      <c r="G18" s="7" t="s">
        <v>564</v>
      </c>
      <c r="H18" s="7" t="s">
        <v>575</v>
      </c>
    </row>
    <row r="19">
      <c r="A19" s="7" t="s">
        <v>435</v>
      </c>
      <c r="B19" s="72">
        <f>IFERROR(VLOOKUP(A19, 'Current Decisions'!A:G, 7, FALSE), "")</f>
        <v>2.1</v>
      </c>
      <c r="C19" s="8">
        <v>1.0</v>
      </c>
      <c r="D19" s="29">
        <v>1.0</v>
      </c>
      <c r="E19" s="8">
        <v>0.0</v>
      </c>
      <c r="F19" s="29">
        <v>0.0</v>
      </c>
      <c r="G19" s="7" t="s">
        <v>564</v>
      </c>
    </row>
    <row r="20">
      <c r="A20" s="7" t="s">
        <v>444</v>
      </c>
      <c r="B20" s="72">
        <f>IFERROR(VLOOKUP(A20, 'Current Decisions'!A:G, 7, FALSE), "")</f>
        <v>25.58</v>
      </c>
      <c r="C20" s="8">
        <v>1.0</v>
      </c>
      <c r="D20" s="7">
        <v>1.0</v>
      </c>
      <c r="E20" s="8">
        <v>0.0</v>
      </c>
      <c r="F20" s="7">
        <v>0.0</v>
      </c>
      <c r="G20" s="7" t="s">
        <v>564</v>
      </c>
    </row>
    <row r="21">
      <c r="A21" s="7" t="s">
        <v>465</v>
      </c>
      <c r="B21" s="19">
        <f>IFERROR(VLOOKUP(A21, 'Current Decisions'!A:G, 7, FALSE), "")</f>
        <v>24.7</v>
      </c>
      <c r="C21" s="8">
        <v>1.0</v>
      </c>
      <c r="D21" s="29">
        <v>0.0</v>
      </c>
      <c r="E21" s="8">
        <v>1.0</v>
      </c>
      <c r="F21" s="29">
        <v>1.0</v>
      </c>
      <c r="G21" s="7" t="s">
        <v>564</v>
      </c>
      <c r="H21" s="7" t="s">
        <v>575</v>
      </c>
    </row>
    <row r="22">
      <c r="A22" s="7" t="s">
        <v>478</v>
      </c>
      <c r="B22" s="72">
        <f>IFERROR(VLOOKUP(A22, 'Current Decisions'!A:G, 7, FALSE), "")</f>
        <v>7.5</v>
      </c>
      <c r="C22" s="8">
        <v>1.0</v>
      </c>
      <c r="D22" s="7">
        <v>1.0</v>
      </c>
      <c r="E22" s="8">
        <v>0.0</v>
      </c>
      <c r="F22" s="7">
        <v>0.0</v>
      </c>
      <c r="G22" s="7" t="s">
        <v>564</v>
      </c>
      <c r="H22" s="29"/>
      <c r="I22" s="29"/>
      <c r="J22" s="29"/>
    </row>
    <row r="23">
      <c r="A23" s="7" t="s">
        <v>495</v>
      </c>
      <c r="B23" s="72">
        <f>IFERROR(VLOOKUP(A23, 'Current Decisions'!A:G, 7, FALSE), "")</f>
        <v>15</v>
      </c>
      <c r="C23" s="8">
        <v>1.0</v>
      </c>
      <c r="E23" s="8">
        <v>1.0</v>
      </c>
      <c r="F23" s="7">
        <v>1.0</v>
      </c>
      <c r="G23" s="7" t="s">
        <v>571</v>
      </c>
    </row>
    <row r="24">
      <c r="A24" s="7" t="s">
        <v>504</v>
      </c>
      <c r="B24" s="19">
        <f>IFERROR(VLOOKUP(A24, 'Current Decisions'!A:G, 7, FALSE), "")</f>
        <v>31.3</v>
      </c>
      <c r="C24" s="8">
        <v>1.0</v>
      </c>
      <c r="D24" s="7">
        <v>1.0</v>
      </c>
      <c r="E24" s="8">
        <v>0.0</v>
      </c>
      <c r="F24" s="7">
        <v>0.0</v>
      </c>
      <c r="G24" s="7" t="s">
        <v>564</v>
      </c>
    </row>
    <row r="25">
      <c r="B25" s="19"/>
    </row>
    <row r="27">
      <c r="B27" s="19"/>
    </row>
    <row r="28">
      <c r="B28" s="19"/>
    </row>
    <row r="29">
      <c r="B29" s="19"/>
    </row>
    <row r="31">
      <c r="B31" s="19"/>
    </row>
    <row r="32">
      <c r="B32" s="19"/>
    </row>
    <row r="33">
      <c r="B33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8">
      <c r="B48" s="19"/>
    </row>
    <row r="50">
      <c r="B50" s="19"/>
    </row>
    <row r="51">
      <c r="B51" s="19"/>
    </row>
    <row r="54">
      <c r="B54" s="19"/>
    </row>
    <row r="55">
      <c r="B55" s="19"/>
      <c r="K55" s="73"/>
    </row>
    <row r="56">
      <c r="B56" s="19"/>
    </row>
    <row r="57">
      <c r="A57" s="89"/>
    </row>
  </sheetData>
  <conditionalFormatting sqref="G2:G8">
    <cfRule type="expression" dxfId="5" priority="1">
      <formula>OR($G2="C",$G2="Confirmed in Symplicity")</formula>
    </cfRule>
  </conditionalFormatting>
  <conditionalFormatting sqref="G2:G8">
    <cfRule type="expression" dxfId="8" priority="2">
      <formula>OR($G2="W",$G2="W/R")</formula>
    </cfRule>
  </conditionalFormatting>
  <conditionalFormatting sqref="G2:G8">
    <cfRule type="expression" dxfId="6" priority="3">
      <formula>$G2="BTT"</formula>
    </cfRule>
  </conditionalFormatting>
  <conditionalFormatting sqref="G2:G8">
    <cfRule type="expression" dxfId="7" priority="4">
      <formula>$G2="R"</formula>
    </cfRule>
  </conditionalFormatting>
  <conditionalFormatting sqref="H2:H3 H6">
    <cfRule type="containsText" dxfId="11" priority="5" operator="containsText" text="=$G2=Confirmed in Symplicity)">
      <formula>NOT(ISERROR(SEARCH(("=$G2=Confirmed in Symplicity)"),(H2))))</formula>
    </cfRule>
  </conditionalFormatting>
  <conditionalFormatting sqref="A2:G496">
    <cfRule type="expression" dxfId="11" priority="6">
      <formula>OR($G2="Confirmed in Symplicity",$G2="C")</formula>
    </cfRule>
  </conditionalFormatting>
  <conditionalFormatting sqref="A2:G19">
    <cfRule type="expression" dxfId="8" priority="7">
      <formula>OR($G2="W",ISBLANK($G2))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8.0"/>
    <col customWidth="1" min="2" max="2" width="8.13"/>
    <col customWidth="1" min="7" max="7" width="70.63"/>
    <col customWidth="1" min="8" max="8" width="13.88"/>
    <col customWidth="1" min="9" max="9" width="18.25"/>
    <col customWidth="1" min="10" max="10" width="14.25"/>
    <col customWidth="1" min="11" max="11" width="11.13"/>
    <col customWidth="1" min="12" max="12" width="2.88"/>
  </cols>
  <sheetData>
    <row r="1">
      <c r="A1" s="14" t="s">
        <v>576</v>
      </c>
      <c r="B1" s="43" t="s">
        <v>563</v>
      </c>
      <c r="C1" s="43" t="s">
        <v>8</v>
      </c>
      <c r="D1" s="43" t="s">
        <v>9</v>
      </c>
      <c r="E1" s="43" t="s">
        <v>10</v>
      </c>
      <c r="F1" s="43" t="s">
        <v>11</v>
      </c>
      <c r="G1" s="7" t="s">
        <v>7</v>
      </c>
      <c r="J1" s="104"/>
    </row>
    <row r="2">
      <c r="A2" s="7" t="s">
        <v>43</v>
      </c>
      <c r="B2" s="26">
        <f>IFERROR(VLOOKUP(A2, 'Current Decisions'!A:G, 7, FALSE), "")</f>
        <v>51.1</v>
      </c>
      <c r="C2" s="8">
        <v>2.0</v>
      </c>
      <c r="D2" s="72">
        <f t="shared" ref="D2:D4" si="1">C2</f>
        <v>2</v>
      </c>
      <c r="E2" s="8">
        <v>2.0</v>
      </c>
      <c r="F2" s="72">
        <f t="shared" ref="F2:F4" si="2">E2</f>
        <v>2</v>
      </c>
      <c r="G2" s="7" t="s">
        <v>564</v>
      </c>
    </row>
    <row r="3">
      <c r="A3" s="7" t="s">
        <v>263</v>
      </c>
      <c r="B3" s="26">
        <f>IFERROR(VLOOKUP(A3, 'Current Decisions'!A:G, 7, FALSE), "")</f>
        <v>43.7</v>
      </c>
      <c r="C3" s="8">
        <v>1.0</v>
      </c>
      <c r="D3" s="72">
        <f t="shared" si="1"/>
        <v>1</v>
      </c>
      <c r="E3" s="8">
        <v>0.0</v>
      </c>
      <c r="F3" s="72">
        <f t="shared" si="2"/>
        <v>0</v>
      </c>
      <c r="G3" s="7" t="s">
        <v>564</v>
      </c>
    </row>
    <row r="4">
      <c r="A4" s="7" t="s">
        <v>31</v>
      </c>
      <c r="B4" s="72">
        <f>IFERROR(VLOOKUP(A4, 'Current Decisions'!A:G, 7, FALSE), "")</f>
        <v>43</v>
      </c>
      <c r="C4" s="8">
        <v>1.0</v>
      </c>
      <c r="D4" s="72">
        <f t="shared" si="1"/>
        <v>1</v>
      </c>
      <c r="E4" s="8">
        <v>0.0</v>
      </c>
      <c r="F4" s="72">
        <f t="shared" si="2"/>
        <v>0</v>
      </c>
      <c r="G4" s="7" t="s">
        <v>564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</row>
    <row r="5">
      <c r="A5" s="7" t="s">
        <v>340</v>
      </c>
      <c r="B5" s="26">
        <f>IFERROR(VLOOKUP(A5, 'Current Decisions'!A:G, 7, FALSE), "")</f>
        <v>43</v>
      </c>
      <c r="C5" s="8">
        <v>1.0</v>
      </c>
      <c r="D5" s="7">
        <v>1.0</v>
      </c>
      <c r="E5" s="8">
        <v>0.0</v>
      </c>
      <c r="F5" s="7">
        <v>0.0</v>
      </c>
      <c r="G5" s="29" t="s">
        <v>564</v>
      </c>
    </row>
    <row r="6">
      <c r="A6" s="7" t="s">
        <v>341</v>
      </c>
      <c r="B6" s="72">
        <f>IFERROR(VLOOKUP(A6, 'Current Decisions'!A:G, 7, FALSE), "")</f>
        <v>41.8</v>
      </c>
      <c r="C6" s="8">
        <v>1.0</v>
      </c>
      <c r="D6" s="7">
        <v>1.0</v>
      </c>
      <c r="E6" s="8">
        <v>0.0</v>
      </c>
      <c r="F6" s="7">
        <v>0.0</v>
      </c>
      <c r="G6" s="7" t="s">
        <v>564</v>
      </c>
    </row>
    <row r="7">
      <c r="A7" s="7" t="s">
        <v>272</v>
      </c>
      <c r="B7" s="26">
        <f>IFERROR(VLOOKUP(A7, 'Current Decisions'!A:G, 7, FALSE), "")</f>
        <v>40.7</v>
      </c>
      <c r="C7" s="8">
        <v>1.0</v>
      </c>
      <c r="D7" s="72">
        <f t="shared" ref="D7:D8" si="3">C7</f>
        <v>1</v>
      </c>
      <c r="E7" s="8">
        <v>1.0</v>
      </c>
      <c r="F7" s="72">
        <f t="shared" ref="F7:F8" si="4">E7</f>
        <v>1</v>
      </c>
      <c r="G7" s="7" t="s">
        <v>564</v>
      </c>
    </row>
    <row r="8">
      <c r="A8" s="7" t="s">
        <v>93</v>
      </c>
      <c r="B8" s="72">
        <f>IFERROR(VLOOKUP(A8, 'Current Decisions'!A:G, 7, FALSE), "")</f>
        <v>40.5</v>
      </c>
      <c r="C8" s="8">
        <v>2.0</v>
      </c>
      <c r="D8" s="72">
        <f t="shared" si="3"/>
        <v>2</v>
      </c>
      <c r="E8" s="8">
        <v>2.0</v>
      </c>
      <c r="F8" s="72">
        <f t="shared" si="4"/>
        <v>2</v>
      </c>
      <c r="G8" s="7" t="s">
        <v>564</v>
      </c>
      <c r="H8" s="105"/>
      <c r="J8" s="43"/>
    </row>
    <row r="9">
      <c r="A9" s="30" t="s">
        <v>93</v>
      </c>
      <c r="B9" s="77">
        <f>IFERROR(VLOOKUP(A9, 'Current Decisions'!A:G, 7, FALSE), "")</f>
        <v>40.5</v>
      </c>
      <c r="C9" s="67">
        <v>2.0</v>
      </c>
      <c r="D9" s="77"/>
      <c r="E9" s="67">
        <v>0.0</v>
      </c>
      <c r="F9" s="77"/>
      <c r="G9" s="30" t="s">
        <v>565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</row>
    <row r="10">
      <c r="A10" s="7" t="s">
        <v>100</v>
      </c>
      <c r="B10" s="8">
        <f>IFERROR(VLOOKUP(A10, 'Current Decisions'!A:G, 7, FALSE), "")</f>
        <v>40.5</v>
      </c>
      <c r="C10" s="7">
        <v>2.0</v>
      </c>
      <c r="D10" s="72">
        <f>C10</f>
        <v>2</v>
      </c>
      <c r="E10" s="7">
        <v>2.0</v>
      </c>
      <c r="F10" s="72">
        <f>E10</f>
        <v>2</v>
      </c>
      <c r="G10" s="7" t="s">
        <v>564</v>
      </c>
      <c r="H10" s="93"/>
    </row>
    <row r="11">
      <c r="A11" s="7" t="s">
        <v>296</v>
      </c>
      <c r="B11" s="26">
        <f>IFERROR(VLOOKUP(A11, 'Current Decisions'!A:G, 7, FALSE), "")</f>
        <v>38.5</v>
      </c>
      <c r="C11" s="8">
        <v>1.0</v>
      </c>
      <c r="D11" s="7">
        <v>1.0</v>
      </c>
      <c r="E11" s="8">
        <v>1.0</v>
      </c>
      <c r="F11" s="7">
        <v>1.0</v>
      </c>
      <c r="G11" s="7" t="s">
        <v>564</v>
      </c>
      <c r="J11" s="43"/>
    </row>
    <row r="12">
      <c r="A12" s="7" t="s">
        <v>192</v>
      </c>
      <c r="B12" s="72">
        <f>IFERROR(VLOOKUP(A12, 'Current Decisions'!A:G, 7, FALSE), "")</f>
        <v>38.2</v>
      </c>
      <c r="C12" s="8">
        <v>4.0</v>
      </c>
      <c r="D12" s="72">
        <f t="shared" ref="D12:D13" si="5">C12</f>
        <v>4</v>
      </c>
      <c r="E12" s="8">
        <v>4.0</v>
      </c>
      <c r="F12" s="72">
        <f t="shared" ref="F12:F13" si="6">E12</f>
        <v>4</v>
      </c>
      <c r="G12" s="7" t="s">
        <v>564</v>
      </c>
    </row>
    <row r="13">
      <c r="A13" s="7" t="s">
        <v>17</v>
      </c>
      <c r="B13" s="72">
        <f>IFERROR(VLOOKUP(A13, 'Current Decisions'!A:G, 7, FALSE), "")</f>
        <v>37.5</v>
      </c>
      <c r="C13" s="8">
        <v>1.0</v>
      </c>
      <c r="D13" s="72">
        <f t="shared" si="5"/>
        <v>1</v>
      </c>
      <c r="E13" s="8">
        <v>0.0</v>
      </c>
      <c r="F13" s="72">
        <f t="shared" si="6"/>
        <v>0</v>
      </c>
      <c r="G13" s="7" t="s">
        <v>564</v>
      </c>
    </row>
    <row r="14">
      <c r="A14" s="7" t="s">
        <v>325</v>
      </c>
      <c r="B14" s="26">
        <f>IFERROR(VLOOKUP(A14, 'Current Decisions'!A:G, 7, FALSE), "")</f>
        <v>36.4</v>
      </c>
      <c r="C14" s="8">
        <v>1.0</v>
      </c>
      <c r="D14" s="7">
        <v>1.0</v>
      </c>
      <c r="E14" s="8">
        <v>0.0</v>
      </c>
      <c r="F14" s="7">
        <v>0.0</v>
      </c>
      <c r="G14" s="7" t="s">
        <v>564</v>
      </c>
    </row>
    <row r="15">
      <c r="A15" s="7" t="s">
        <v>126</v>
      </c>
      <c r="B15" s="72">
        <f>IFERROR(VLOOKUP(A15, 'Current Decisions'!A:G, 7, FALSE), "")</f>
        <v>35.9</v>
      </c>
      <c r="C15" s="8">
        <v>1.0</v>
      </c>
      <c r="D15" s="72">
        <f>C15</f>
        <v>1</v>
      </c>
      <c r="E15" s="8">
        <v>0.0</v>
      </c>
      <c r="F15" s="72">
        <f>E15</f>
        <v>0</v>
      </c>
      <c r="G15" s="7" t="s">
        <v>564</v>
      </c>
    </row>
    <row r="16">
      <c r="A16" s="7" t="s">
        <v>396</v>
      </c>
      <c r="B16" s="26">
        <f>IFERROR(VLOOKUP(A16, 'Current Decisions'!A:G, 7, FALSE), "")</f>
        <v>35.9</v>
      </c>
      <c r="C16" s="8">
        <v>0.0</v>
      </c>
      <c r="D16" s="7">
        <v>0.0</v>
      </c>
      <c r="E16" s="8">
        <v>1.0</v>
      </c>
      <c r="F16" s="7">
        <v>1.0</v>
      </c>
      <c r="G16" s="29" t="s">
        <v>564</v>
      </c>
    </row>
    <row r="17">
      <c r="A17" s="7" t="s">
        <v>121</v>
      </c>
      <c r="B17" s="26">
        <f>IFERROR(VLOOKUP(A17, 'Current Decisions'!A:G, 7, FALSE), "")</f>
        <v>30.5</v>
      </c>
      <c r="C17" s="8">
        <v>1.0</v>
      </c>
      <c r="D17" s="72">
        <f t="shared" ref="D17:D22" si="7">C17</f>
        <v>1</v>
      </c>
      <c r="E17" s="8">
        <v>0.0</v>
      </c>
      <c r="F17" s="72">
        <f t="shared" ref="F17:F23" si="8">E17</f>
        <v>0</v>
      </c>
      <c r="G17" s="7" t="s">
        <v>564</v>
      </c>
    </row>
    <row r="18">
      <c r="A18" s="7" t="s">
        <v>200</v>
      </c>
      <c r="B18" s="72">
        <f>IFERROR(VLOOKUP(A18, 'Current Decisions'!A:G, 7, FALSE), "")</f>
        <v>30.5</v>
      </c>
      <c r="C18" s="8">
        <v>1.0</v>
      </c>
      <c r="D18" s="72">
        <f t="shared" si="7"/>
        <v>1</v>
      </c>
      <c r="E18" s="8">
        <v>0.0</v>
      </c>
      <c r="F18" s="72">
        <f t="shared" si="8"/>
        <v>0</v>
      </c>
      <c r="G18" s="7" t="s">
        <v>564</v>
      </c>
    </row>
    <row r="19">
      <c r="A19" s="7" t="s">
        <v>270</v>
      </c>
      <c r="B19" s="26">
        <f>IFERROR(VLOOKUP(A19, 'Current Decisions'!A:G, 7, FALSE), "")</f>
        <v>30.5</v>
      </c>
      <c r="C19" s="8">
        <v>1.0</v>
      </c>
      <c r="D19" s="72">
        <f t="shared" si="7"/>
        <v>1</v>
      </c>
      <c r="E19" s="8">
        <v>0.0</v>
      </c>
      <c r="F19" s="72">
        <f t="shared" si="8"/>
        <v>0</v>
      </c>
      <c r="G19" s="7" t="s">
        <v>564</v>
      </c>
    </row>
    <row r="20">
      <c r="A20" s="7" t="s">
        <v>41</v>
      </c>
      <c r="B20" s="72">
        <f>IFERROR(VLOOKUP(A20, 'Current Decisions'!A:G, 7, FALSE), "")</f>
        <v>29.7</v>
      </c>
      <c r="C20" s="8">
        <v>1.0</v>
      </c>
      <c r="D20" s="72">
        <f t="shared" si="7"/>
        <v>1</v>
      </c>
      <c r="E20" s="8">
        <v>0.0</v>
      </c>
      <c r="F20" s="72">
        <f t="shared" si="8"/>
        <v>0</v>
      </c>
      <c r="G20" s="7" t="s">
        <v>564</v>
      </c>
    </row>
    <row r="21">
      <c r="A21" s="7" t="s">
        <v>110</v>
      </c>
      <c r="B21" s="26">
        <f>IFERROR(VLOOKUP(A21, 'Current Decisions'!A:G, 7, FALSE), "")</f>
        <v>29.7</v>
      </c>
      <c r="C21" s="8">
        <v>2.0</v>
      </c>
      <c r="D21" s="72">
        <f t="shared" si="7"/>
        <v>2</v>
      </c>
      <c r="E21" s="8">
        <v>2.0</v>
      </c>
      <c r="F21" s="72">
        <f t="shared" si="8"/>
        <v>2</v>
      </c>
      <c r="G21" s="7" t="s">
        <v>564</v>
      </c>
    </row>
    <row r="22">
      <c r="A22" s="7" t="s">
        <v>168</v>
      </c>
      <c r="B22" s="72">
        <f>IFERROR(VLOOKUP(A22, 'Current Decisions'!A:G, 7, FALSE), "")</f>
        <v>29.7</v>
      </c>
      <c r="C22" s="8">
        <v>1.0</v>
      </c>
      <c r="D22" s="72">
        <f t="shared" si="7"/>
        <v>1</v>
      </c>
      <c r="E22" s="8">
        <v>1.0</v>
      </c>
      <c r="F22" s="72">
        <f t="shared" si="8"/>
        <v>1</v>
      </c>
      <c r="G22" s="7" t="s">
        <v>564</v>
      </c>
    </row>
    <row r="23">
      <c r="A23" s="30" t="s">
        <v>79</v>
      </c>
      <c r="B23" s="30">
        <f>IFERROR(VLOOKUP(A23, 'Current Decisions'!A:G, 7, FALSE), "")</f>
        <v>29</v>
      </c>
      <c r="C23" s="30">
        <v>1.0</v>
      </c>
      <c r="D23" s="30">
        <v>0.0</v>
      </c>
      <c r="E23" s="30">
        <v>0.0</v>
      </c>
      <c r="F23" s="77">
        <f t="shared" si="8"/>
        <v>0</v>
      </c>
      <c r="G23" s="30" t="s">
        <v>565</v>
      </c>
      <c r="H23" s="77"/>
      <c r="I23" s="77"/>
      <c r="J23" s="106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</row>
    <row r="24">
      <c r="A24" s="7" t="s">
        <v>291</v>
      </c>
      <c r="B24" s="26">
        <f>IFERROR(VLOOKUP(A24, 'Current Decisions'!A:G, 7, FALSE), "")</f>
        <v>29</v>
      </c>
      <c r="C24" s="8">
        <v>1.0</v>
      </c>
      <c r="D24" s="7">
        <v>1.0</v>
      </c>
      <c r="E24" s="29">
        <v>0.0</v>
      </c>
      <c r="F24" s="29">
        <v>0.0</v>
      </c>
      <c r="G24" s="7" t="s">
        <v>564</v>
      </c>
    </row>
    <row r="25">
      <c r="A25" s="7" t="s">
        <v>107</v>
      </c>
      <c r="B25" s="7">
        <f>IFERROR(VLOOKUP(A25, 'Current Decisions'!A:G, 7, FALSE), "")</f>
        <v>28.9</v>
      </c>
      <c r="C25" s="7">
        <v>0.0</v>
      </c>
      <c r="D25" s="7">
        <v>1.0</v>
      </c>
      <c r="E25" s="7">
        <v>1.0</v>
      </c>
      <c r="F25" s="72">
        <f t="shared" ref="F25:F31" si="9">E25</f>
        <v>1</v>
      </c>
      <c r="G25" s="7" t="s">
        <v>564</v>
      </c>
    </row>
    <row r="26">
      <c r="A26" s="7" t="s">
        <v>25</v>
      </c>
      <c r="B26" s="7">
        <f>IFERROR(VLOOKUP(A26, 'Current Decisions'!A:G, 7, FALSE), "")</f>
        <v>28.3</v>
      </c>
      <c r="C26" s="7">
        <v>1.0</v>
      </c>
      <c r="D26" s="7">
        <f t="shared" ref="D26:D31" si="10">C26</f>
        <v>1</v>
      </c>
      <c r="E26" s="7">
        <v>1.0</v>
      </c>
      <c r="F26" s="72">
        <f t="shared" si="9"/>
        <v>1</v>
      </c>
      <c r="G26" s="7" t="s">
        <v>564</v>
      </c>
    </row>
    <row r="27">
      <c r="A27" s="7" t="s">
        <v>52</v>
      </c>
      <c r="B27" s="26">
        <f>IFERROR(VLOOKUP(A27, 'Current Decisions'!A:G, 7, FALSE), "")</f>
        <v>28.2</v>
      </c>
      <c r="C27" s="8">
        <v>2.0</v>
      </c>
      <c r="D27" s="72">
        <f t="shared" si="10"/>
        <v>2</v>
      </c>
      <c r="E27" s="8">
        <v>2.0</v>
      </c>
      <c r="F27" s="72">
        <f t="shared" si="9"/>
        <v>2</v>
      </c>
      <c r="G27" s="7" t="s">
        <v>564</v>
      </c>
    </row>
    <row r="28">
      <c r="A28" s="7" t="s">
        <v>91</v>
      </c>
      <c r="B28" s="7">
        <f>IFERROR(VLOOKUP(A28, 'Current Decisions'!A:G, 7, FALSE), "")</f>
        <v>28.2</v>
      </c>
      <c r="C28" s="7">
        <v>2.0</v>
      </c>
      <c r="D28" s="7">
        <f t="shared" si="10"/>
        <v>2</v>
      </c>
      <c r="E28" s="7">
        <v>2.0</v>
      </c>
      <c r="F28" s="72">
        <f t="shared" si="9"/>
        <v>2</v>
      </c>
      <c r="G28" s="7" t="s">
        <v>564</v>
      </c>
    </row>
    <row r="29">
      <c r="A29" s="7" t="s">
        <v>152</v>
      </c>
      <c r="B29" s="72">
        <f>IFERROR(VLOOKUP(A29, 'Current Decisions'!A:G, 7, FALSE), "")</f>
        <v>28.2</v>
      </c>
      <c r="C29" s="8">
        <v>1.0</v>
      </c>
      <c r="D29" s="72">
        <f t="shared" si="10"/>
        <v>1</v>
      </c>
      <c r="E29" s="8">
        <v>0.0</v>
      </c>
      <c r="F29" s="72">
        <f t="shared" si="9"/>
        <v>0</v>
      </c>
      <c r="G29" s="7" t="s">
        <v>564</v>
      </c>
    </row>
    <row r="30">
      <c r="A30" s="7" t="s">
        <v>154</v>
      </c>
      <c r="B30" s="26">
        <f>IFERROR(VLOOKUP(A30, 'Current Decisions'!A:G, 7, FALSE), "")</f>
        <v>28.2</v>
      </c>
      <c r="C30" s="8">
        <v>1.0</v>
      </c>
      <c r="D30" s="72">
        <f t="shared" si="10"/>
        <v>1</v>
      </c>
      <c r="E30" s="8">
        <v>1.0</v>
      </c>
      <c r="F30" s="72">
        <f t="shared" si="9"/>
        <v>1</v>
      </c>
      <c r="G30" s="7" t="s">
        <v>564</v>
      </c>
    </row>
    <row r="31">
      <c r="A31" s="7" t="s">
        <v>217</v>
      </c>
      <c r="B31" s="72">
        <f>IFERROR(VLOOKUP(A31, 'Current Decisions'!A:G, 7, FALSE), "")</f>
        <v>28.2</v>
      </c>
      <c r="C31" s="8">
        <v>1.0</v>
      </c>
      <c r="D31" s="72">
        <f t="shared" si="10"/>
        <v>1</v>
      </c>
      <c r="E31" s="8">
        <v>0.0</v>
      </c>
      <c r="F31" s="72">
        <f t="shared" si="9"/>
        <v>0</v>
      </c>
      <c r="G31" s="7" t="s">
        <v>564</v>
      </c>
      <c r="J31" s="43"/>
    </row>
    <row r="32">
      <c r="A32" s="7" t="s">
        <v>53</v>
      </c>
      <c r="B32" s="72">
        <f>IFERROR(VLOOKUP(A32, 'Current Decisions'!A:G, 7, FALSE), "")</f>
        <v>27.5</v>
      </c>
      <c r="C32" s="7">
        <v>0.0</v>
      </c>
      <c r="D32" s="7">
        <v>0.0</v>
      </c>
      <c r="E32" s="8">
        <v>1.0</v>
      </c>
      <c r="F32" s="7">
        <v>1.0</v>
      </c>
      <c r="G32" s="7" t="s">
        <v>564</v>
      </c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>
      <c r="A33" s="7" t="s">
        <v>177</v>
      </c>
      <c r="B33" s="26">
        <f>IFERROR(VLOOKUP(A33, 'Current Decisions'!A:G, 7, FALSE), "")</f>
        <v>27.5</v>
      </c>
      <c r="C33" s="8">
        <v>1.0</v>
      </c>
      <c r="D33" s="72">
        <f>C33</f>
        <v>1</v>
      </c>
      <c r="E33" s="8">
        <v>0.0</v>
      </c>
      <c r="F33" s="72">
        <f t="shared" ref="F33:F37" si="11">E33</f>
        <v>0</v>
      </c>
      <c r="G33" s="7" t="s">
        <v>564</v>
      </c>
    </row>
    <row r="34">
      <c r="A34" s="30" t="s">
        <v>92</v>
      </c>
      <c r="B34" s="71">
        <f>IFERROR(VLOOKUP(A34, 'Current Decisions'!A:G, 7, FALSE), "")</f>
        <v>27</v>
      </c>
      <c r="C34" s="67">
        <v>1.0</v>
      </c>
      <c r="D34" s="30">
        <v>0.0</v>
      </c>
      <c r="E34" s="67">
        <v>0.0</v>
      </c>
      <c r="F34" s="77">
        <f t="shared" si="11"/>
        <v>0</v>
      </c>
      <c r="G34" s="30" t="s">
        <v>565</v>
      </c>
      <c r="H34" s="77"/>
      <c r="I34" s="77"/>
      <c r="J34" s="106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>
      <c r="A35" s="7" t="s">
        <v>45</v>
      </c>
      <c r="B35" s="26">
        <f>IFERROR(VLOOKUP(A35, 'Current Decisions'!A:G, 7, FALSE), "")</f>
        <v>26.7</v>
      </c>
      <c r="C35" s="8">
        <v>1.0</v>
      </c>
      <c r="D35" s="72">
        <f t="shared" ref="D35:D37" si="12">C35</f>
        <v>1</v>
      </c>
      <c r="E35" s="8">
        <v>0.0</v>
      </c>
      <c r="F35" s="72">
        <f t="shared" si="11"/>
        <v>0</v>
      </c>
      <c r="G35" s="7" t="s">
        <v>564</v>
      </c>
    </row>
    <row r="36">
      <c r="A36" s="7" t="s">
        <v>68</v>
      </c>
      <c r="B36" s="72">
        <f>IFERROR(VLOOKUP(A36, 'Current Decisions'!A:G, 7, FALSE), "")</f>
        <v>26.7</v>
      </c>
      <c r="C36" s="8">
        <v>1.0</v>
      </c>
      <c r="D36" s="72">
        <f t="shared" si="12"/>
        <v>1</v>
      </c>
      <c r="E36" s="8">
        <v>0.0</v>
      </c>
      <c r="F36" s="72">
        <f t="shared" si="11"/>
        <v>0</v>
      </c>
      <c r="G36" s="7" t="s">
        <v>564</v>
      </c>
    </row>
    <row r="37">
      <c r="A37" s="7" t="s">
        <v>164</v>
      </c>
      <c r="B37" s="72">
        <f>IFERROR(VLOOKUP(A37, 'Current Decisions'!A:G, 7, FALSE), "")</f>
        <v>26.7</v>
      </c>
      <c r="C37" s="8">
        <v>1.0</v>
      </c>
      <c r="D37" s="72">
        <f t="shared" si="12"/>
        <v>1</v>
      </c>
      <c r="E37" s="8">
        <v>1.0</v>
      </c>
      <c r="F37" s="72">
        <f t="shared" si="11"/>
        <v>1</v>
      </c>
      <c r="G37" s="7" t="s">
        <v>564</v>
      </c>
      <c r="H37" s="29"/>
      <c r="I37" s="29"/>
    </row>
    <row r="38">
      <c r="A38" s="7" t="s">
        <v>392</v>
      </c>
      <c r="B38" s="26">
        <f>IFERROR(VLOOKUP(A38, 'Current Decisions'!A:G, 7, FALSE), "")</f>
        <v>26.7</v>
      </c>
      <c r="C38" s="7">
        <v>0.0</v>
      </c>
      <c r="D38" s="7">
        <v>0.0</v>
      </c>
      <c r="E38" s="8">
        <v>1.0</v>
      </c>
      <c r="F38" s="7">
        <v>1.0</v>
      </c>
      <c r="G38" s="29" t="s">
        <v>573</v>
      </c>
    </row>
    <row r="39">
      <c r="A39" s="7" t="s">
        <v>203</v>
      </c>
      <c r="B39" s="72">
        <f>IFERROR(VLOOKUP(A39, 'Current Decisions'!A:G, 7, FALSE), "")</f>
        <v>26</v>
      </c>
      <c r="C39" s="8">
        <v>1.0</v>
      </c>
      <c r="D39" s="72">
        <f t="shared" ref="D39:D40" si="13">C39</f>
        <v>1</v>
      </c>
      <c r="E39" s="8">
        <v>1.0</v>
      </c>
      <c r="F39" s="72">
        <f t="shared" ref="F39:F42" si="14">E39</f>
        <v>1</v>
      </c>
      <c r="G39" s="7" t="s">
        <v>564</v>
      </c>
    </row>
    <row r="40">
      <c r="A40" s="7" t="s">
        <v>260</v>
      </c>
      <c r="B40" s="26">
        <f>IFERROR(VLOOKUP(A40, 'Current Decisions'!A:G, 7, FALSE), "")</f>
        <v>26</v>
      </c>
      <c r="C40" s="8">
        <v>1.0</v>
      </c>
      <c r="D40" s="72">
        <f t="shared" si="13"/>
        <v>1</v>
      </c>
      <c r="E40" s="8">
        <v>0.0</v>
      </c>
      <c r="F40" s="72">
        <f t="shared" si="14"/>
        <v>0</v>
      </c>
      <c r="G40" s="7" t="s">
        <v>564</v>
      </c>
    </row>
    <row r="41">
      <c r="A41" s="30" t="s">
        <v>153</v>
      </c>
      <c r="B41" s="71">
        <f>IFERROR(VLOOKUP(A41, 'Current Decisions'!A:G, 7, FALSE), "")</f>
        <v>25.5</v>
      </c>
      <c r="C41" s="67"/>
      <c r="D41" s="30">
        <v>0.0</v>
      </c>
      <c r="E41" s="67"/>
      <c r="F41" s="77" t="str">
        <f t="shared" si="14"/>
        <v/>
      </c>
      <c r="G41" s="30" t="s">
        <v>577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>
      <c r="A42" s="7" t="s">
        <v>159</v>
      </c>
      <c r="B42" s="7">
        <f>IFERROR(VLOOKUP(A42, 'Current Decisions'!A:G, 7, FALSE), "")</f>
        <v>25.3</v>
      </c>
      <c r="C42" s="7">
        <v>0.0</v>
      </c>
      <c r="D42" s="72">
        <f>C42</f>
        <v>0</v>
      </c>
      <c r="E42" s="7">
        <v>1.0</v>
      </c>
      <c r="F42" s="72">
        <f t="shared" si="14"/>
        <v>1</v>
      </c>
      <c r="G42" s="7" t="s">
        <v>564</v>
      </c>
    </row>
    <row r="43">
      <c r="A43" s="30" t="s">
        <v>252</v>
      </c>
      <c r="B43" s="77">
        <f>IFERROR(VLOOKUP(A43, 'Current Decisions'!A:G, 7, FALSE), "")</f>
        <v>25.3</v>
      </c>
      <c r="C43" s="67"/>
      <c r="D43" s="30">
        <v>0.0</v>
      </c>
      <c r="E43" s="67"/>
      <c r="F43" s="30">
        <v>0.0</v>
      </c>
      <c r="G43" s="30" t="s">
        <v>577</v>
      </c>
      <c r="H43" s="30" t="s">
        <v>578</v>
      </c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>
      <c r="A44" s="7" t="s">
        <v>86</v>
      </c>
      <c r="B44" s="72">
        <f>IFERROR(VLOOKUP(A44, 'Current Decisions'!A:G, 7, FALSE), "")</f>
        <v>24.5</v>
      </c>
      <c r="C44" s="29">
        <v>1.0</v>
      </c>
      <c r="D44" s="72">
        <f t="shared" ref="D44:D50" si="15">C44</f>
        <v>1</v>
      </c>
      <c r="E44" s="29">
        <v>0.0</v>
      </c>
      <c r="F44" s="72">
        <f t="shared" ref="F44:F50" si="16">E44</f>
        <v>0</v>
      </c>
      <c r="G44" s="7" t="s">
        <v>564</v>
      </c>
    </row>
    <row r="45">
      <c r="A45" s="7" t="s">
        <v>105</v>
      </c>
      <c r="B45" s="26">
        <f>IFERROR(VLOOKUP(A45, 'Current Decisions'!A:G, 7, FALSE), "")</f>
        <v>24.5</v>
      </c>
      <c r="C45" s="8">
        <v>1.0</v>
      </c>
      <c r="D45" s="72">
        <f t="shared" si="15"/>
        <v>1</v>
      </c>
      <c r="E45" s="8">
        <v>0.0</v>
      </c>
      <c r="F45" s="72">
        <f t="shared" si="16"/>
        <v>0</v>
      </c>
      <c r="G45" s="7" t="s">
        <v>564</v>
      </c>
    </row>
    <row r="46">
      <c r="A46" s="7" t="s">
        <v>162</v>
      </c>
      <c r="B46" s="72">
        <f>IFERROR(VLOOKUP(A46, 'Current Decisions'!A:G, 7, FALSE), "")</f>
        <v>24.5</v>
      </c>
      <c r="C46" s="8">
        <v>1.0</v>
      </c>
      <c r="D46" s="72">
        <f t="shared" si="15"/>
        <v>1</v>
      </c>
      <c r="E46" s="8">
        <v>0.0</v>
      </c>
      <c r="F46" s="72">
        <f t="shared" si="16"/>
        <v>0</v>
      </c>
      <c r="G46" s="7" t="s">
        <v>564</v>
      </c>
      <c r="J46" s="43"/>
    </row>
    <row r="47">
      <c r="A47" s="7" t="s">
        <v>97</v>
      </c>
      <c r="B47" s="72">
        <f>IFERROR(VLOOKUP(A47, 'Current Decisions'!A:G, 7, FALSE), "")</f>
        <v>24</v>
      </c>
      <c r="C47" s="8">
        <v>1.0</v>
      </c>
      <c r="D47" s="72">
        <f t="shared" si="15"/>
        <v>1</v>
      </c>
      <c r="E47" s="8">
        <v>0.0</v>
      </c>
      <c r="F47" s="72">
        <f t="shared" si="16"/>
        <v>0</v>
      </c>
      <c r="G47" s="7" t="s">
        <v>564</v>
      </c>
    </row>
    <row r="48">
      <c r="A48" s="7" t="s">
        <v>127</v>
      </c>
      <c r="B48" s="72">
        <f>IFERROR(VLOOKUP(A48, 'Current Decisions'!A:G, 7, FALSE), "")</f>
        <v>24</v>
      </c>
      <c r="C48" s="8">
        <v>1.0</v>
      </c>
      <c r="D48" s="72">
        <f t="shared" si="15"/>
        <v>1</v>
      </c>
      <c r="E48" s="8">
        <v>0.0</v>
      </c>
      <c r="F48" s="72">
        <f t="shared" si="16"/>
        <v>0</v>
      </c>
      <c r="G48" s="7" t="s">
        <v>564</v>
      </c>
    </row>
    <row r="49">
      <c r="A49" s="7" t="s">
        <v>151</v>
      </c>
      <c r="B49" s="26">
        <f>IFERROR(VLOOKUP(A49, 'Current Decisions'!A:G, 7, FALSE), "")</f>
        <v>24</v>
      </c>
      <c r="C49" s="8">
        <v>0.0</v>
      </c>
      <c r="D49" s="72">
        <f t="shared" si="15"/>
        <v>0</v>
      </c>
      <c r="E49" s="8">
        <v>2.0</v>
      </c>
      <c r="F49" s="72">
        <f t="shared" si="16"/>
        <v>2</v>
      </c>
      <c r="G49" s="7" t="s">
        <v>564</v>
      </c>
    </row>
    <row r="50">
      <c r="A50" s="7" t="s">
        <v>266</v>
      </c>
      <c r="B50" s="72">
        <f>IFERROR(VLOOKUP(A50, 'Current Decisions'!A:G, 7, FALSE), "")</f>
        <v>23.8</v>
      </c>
      <c r="C50" s="8">
        <v>2.0</v>
      </c>
      <c r="D50" s="72">
        <f t="shared" si="15"/>
        <v>2</v>
      </c>
      <c r="E50" s="8">
        <v>2.0</v>
      </c>
      <c r="F50" s="72">
        <f t="shared" si="16"/>
        <v>2</v>
      </c>
      <c r="G50" s="7" t="s">
        <v>564</v>
      </c>
    </row>
    <row r="51">
      <c r="A51" s="7" t="s">
        <v>363</v>
      </c>
      <c r="B51" s="72">
        <f>IFERROR(VLOOKUP(A51, 'Current Decisions'!A:G, 7, FALSE), "")</f>
        <v>23.4</v>
      </c>
      <c r="C51" s="7">
        <v>0.0</v>
      </c>
      <c r="D51" s="7">
        <v>0.0</v>
      </c>
      <c r="E51" s="7">
        <v>1.0</v>
      </c>
      <c r="F51" s="7">
        <v>1.0</v>
      </c>
      <c r="G51" s="29" t="s">
        <v>564</v>
      </c>
    </row>
    <row r="52">
      <c r="A52" s="7" t="s">
        <v>44</v>
      </c>
      <c r="B52" s="26">
        <f>IFERROR(VLOOKUP(A52, 'Current Decisions'!A:G, 7, FALSE), "")</f>
        <v>23</v>
      </c>
      <c r="C52" s="8">
        <v>1.0</v>
      </c>
      <c r="D52" s="72">
        <f t="shared" ref="D52:D54" si="17">C52</f>
        <v>1</v>
      </c>
      <c r="E52" s="8">
        <v>0.0</v>
      </c>
      <c r="F52" s="72">
        <f t="shared" ref="F52:F54" si="18">E52</f>
        <v>0</v>
      </c>
      <c r="G52" s="7" t="s">
        <v>564</v>
      </c>
    </row>
    <row r="53">
      <c r="A53" s="7" t="s">
        <v>106</v>
      </c>
      <c r="B53" s="72">
        <f>IFERROR(VLOOKUP(A53, 'Current Decisions'!A:G, 7, FALSE), "")</f>
        <v>22.7</v>
      </c>
      <c r="C53" s="8">
        <v>1.0</v>
      </c>
      <c r="D53" s="72">
        <f t="shared" si="17"/>
        <v>1</v>
      </c>
      <c r="E53" s="8">
        <v>1.0</v>
      </c>
      <c r="F53" s="72">
        <f t="shared" si="18"/>
        <v>1</v>
      </c>
      <c r="G53" s="7" t="s">
        <v>564</v>
      </c>
      <c r="J53" s="43"/>
    </row>
    <row r="54">
      <c r="A54" s="7" t="s">
        <v>67</v>
      </c>
      <c r="B54" s="72">
        <f>IFERROR(VLOOKUP(A54, 'Current Decisions'!A:G, 7, FALSE), "")</f>
        <v>22.5</v>
      </c>
      <c r="C54" s="8">
        <v>1.0</v>
      </c>
      <c r="D54" s="72">
        <f t="shared" si="17"/>
        <v>1</v>
      </c>
      <c r="E54" s="8">
        <v>1.0</v>
      </c>
      <c r="F54" s="72">
        <f t="shared" si="18"/>
        <v>1</v>
      </c>
      <c r="G54" s="7" t="s">
        <v>564</v>
      </c>
    </row>
    <row r="55">
      <c r="A55" s="7" t="s">
        <v>313</v>
      </c>
      <c r="B55" s="26">
        <f>IFERROR(VLOOKUP(A55, 'Current Decisions'!A:G, 7, FALSE), "")</f>
        <v>22.5</v>
      </c>
      <c r="C55" s="8">
        <v>1.0</v>
      </c>
      <c r="D55" s="7">
        <v>1.0</v>
      </c>
      <c r="E55" s="8">
        <v>0.0</v>
      </c>
      <c r="F55" s="7">
        <v>0.0</v>
      </c>
      <c r="G55" s="29" t="s">
        <v>564</v>
      </c>
    </row>
    <row r="56">
      <c r="A56" s="7" t="s">
        <v>400</v>
      </c>
      <c r="B56" s="26">
        <f>IFERROR(VLOOKUP(A56, 'Current Decisions'!A:G, 7, FALSE), "")</f>
        <v>22.5</v>
      </c>
      <c r="C56" s="8">
        <v>1.0</v>
      </c>
      <c r="D56" s="7">
        <v>1.0</v>
      </c>
      <c r="E56" s="8">
        <v>1.0</v>
      </c>
      <c r="F56" s="7">
        <v>1.0</v>
      </c>
      <c r="G56" s="7" t="s">
        <v>564</v>
      </c>
    </row>
    <row r="57">
      <c r="A57" s="7" t="s">
        <v>345</v>
      </c>
      <c r="B57" s="72">
        <f>IFERROR(VLOOKUP(A57, 'Current Decisions'!A:G, 7, FALSE), "")</f>
        <v>22.2</v>
      </c>
      <c r="C57" s="8">
        <v>1.0</v>
      </c>
      <c r="D57" s="7">
        <v>1.0</v>
      </c>
      <c r="E57" s="8">
        <v>1.0</v>
      </c>
      <c r="F57" s="7">
        <v>1.0</v>
      </c>
      <c r="G57" s="29" t="s">
        <v>564</v>
      </c>
    </row>
    <row r="58">
      <c r="A58" s="7" t="s">
        <v>241</v>
      </c>
      <c r="B58" s="26">
        <f>IFERROR(VLOOKUP(A58, 'Current Decisions'!A:G, 7, FALSE), "")</f>
        <v>21.7</v>
      </c>
      <c r="C58" s="8">
        <v>1.0</v>
      </c>
      <c r="D58" s="72">
        <f t="shared" ref="D58:D60" si="19">C58</f>
        <v>1</v>
      </c>
      <c r="E58" s="8">
        <v>0.0</v>
      </c>
      <c r="F58" s="72">
        <f t="shared" ref="F58:F60" si="20">E58</f>
        <v>0</v>
      </c>
      <c r="G58" s="7" t="s">
        <v>564</v>
      </c>
    </row>
    <row r="59">
      <c r="A59" s="7" t="s">
        <v>139</v>
      </c>
      <c r="B59" s="26">
        <f>IFERROR(VLOOKUP(A59, 'Current Decisions'!A:G, 7, FALSE), "")</f>
        <v>21</v>
      </c>
      <c r="C59" s="8">
        <v>2.0</v>
      </c>
      <c r="D59" s="72">
        <f t="shared" si="19"/>
        <v>2</v>
      </c>
      <c r="E59" s="8">
        <v>2.0</v>
      </c>
      <c r="F59" s="72">
        <f t="shared" si="20"/>
        <v>2</v>
      </c>
      <c r="G59" s="7" t="s">
        <v>564</v>
      </c>
    </row>
    <row r="60">
      <c r="A60" s="7" t="s">
        <v>140</v>
      </c>
      <c r="B60" s="26">
        <f>IFERROR(VLOOKUP(A60, 'Current Decisions'!A:G, 7, FALSE), "")</f>
        <v>21</v>
      </c>
      <c r="C60" s="8">
        <v>2.0</v>
      </c>
      <c r="D60" s="72">
        <f t="shared" si="19"/>
        <v>2</v>
      </c>
      <c r="E60" s="8">
        <v>2.0</v>
      </c>
      <c r="F60" s="72">
        <f t="shared" si="20"/>
        <v>2</v>
      </c>
      <c r="G60" s="7" t="s">
        <v>564</v>
      </c>
    </row>
    <row r="61">
      <c r="A61" s="7" t="s">
        <v>403</v>
      </c>
      <c r="B61" s="26">
        <f>IFERROR(VLOOKUP(A61, 'Current Decisions'!A:G, 7, FALSE), "")</f>
        <v>20.8</v>
      </c>
      <c r="C61" s="8">
        <v>0.0</v>
      </c>
      <c r="D61" s="7">
        <v>0.0</v>
      </c>
      <c r="E61" s="8">
        <v>1.0</v>
      </c>
      <c r="F61" s="7">
        <v>1.0</v>
      </c>
      <c r="G61" s="7" t="s">
        <v>564</v>
      </c>
    </row>
    <row r="62">
      <c r="A62" s="30" t="s">
        <v>135</v>
      </c>
      <c r="B62" s="71">
        <f>IFERROR(VLOOKUP(A62, 'Current Decisions'!A:G, 7, FALSE), "")</f>
        <v>20.3</v>
      </c>
      <c r="C62" s="67"/>
      <c r="D62" s="30">
        <v>0.0</v>
      </c>
      <c r="E62" s="67"/>
      <c r="F62" s="77" t="str">
        <f t="shared" ref="F62:F69" si="21">E62</f>
        <v/>
      </c>
      <c r="G62" s="30" t="s">
        <v>565</v>
      </c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>
      <c r="A63" s="7" t="s">
        <v>72</v>
      </c>
      <c r="B63" s="72">
        <f>IFERROR(VLOOKUP(A63, 'Current Decisions'!A:G, 7, FALSE), "")</f>
        <v>20</v>
      </c>
      <c r="C63" s="8">
        <v>1.0</v>
      </c>
      <c r="D63" s="72">
        <f t="shared" ref="D63:D69" si="22">C63</f>
        <v>1</v>
      </c>
      <c r="E63" s="8">
        <v>0.0</v>
      </c>
      <c r="F63" s="72">
        <f t="shared" si="21"/>
        <v>0</v>
      </c>
      <c r="G63" s="7" t="s">
        <v>564</v>
      </c>
    </row>
    <row r="64">
      <c r="A64" s="7" t="s">
        <v>87</v>
      </c>
      <c r="B64" s="72">
        <f>IFERROR(VLOOKUP(A64, 'Current Decisions'!A:G, 7, FALSE), "")</f>
        <v>20</v>
      </c>
      <c r="C64" s="8">
        <v>1.0</v>
      </c>
      <c r="D64" s="72">
        <f t="shared" si="22"/>
        <v>1</v>
      </c>
      <c r="E64" s="8">
        <v>1.0</v>
      </c>
      <c r="F64" s="72">
        <f t="shared" si="21"/>
        <v>1</v>
      </c>
      <c r="G64" s="7" t="s">
        <v>564</v>
      </c>
    </row>
    <row r="65">
      <c r="A65" s="7" t="s">
        <v>125</v>
      </c>
      <c r="B65" s="26">
        <f>IFERROR(VLOOKUP(A65, 'Current Decisions'!A:G, 7, FALSE), "")</f>
        <v>20</v>
      </c>
      <c r="C65" s="8">
        <v>4.0</v>
      </c>
      <c r="D65" s="72">
        <f t="shared" si="22"/>
        <v>4</v>
      </c>
      <c r="E65" s="8">
        <v>4.0</v>
      </c>
      <c r="F65" s="72">
        <f t="shared" si="21"/>
        <v>4</v>
      </c>
      <c r="G65" s="7" t="s">
        <v>564</v>
      </c>
    </row>
    <row r="66">
      <c r="A66" s="7" t="s">
        <v>138</v>
      </c>
      <c r="B66" s="72">
        <f>IFERROR(VLOOKUP(A66, 'Current Decisions'!A:G, 7, FALSE), "")</f>
        <v>20</v>
      </c>
      <c r="C66" s="8">
        <v>1.0</v>
      </c>
      <c r="D66" s="72">
        <f t="shared" si="22"/>
        <v>1</v>
      </c>
      <c r="E66" s="8">
        <v>0.0</v>
      </c>
      <c r="F66" s="72">
        <f t="shared" si="21"/>
        <v>0</v>
      </c>
      <c r="G66" s="7" t="s">
        <v>564</v>
      </c>
      <c r="I66" s="29"/>
    </row>
    <row r="67">
      <c r="A67" s="7" t="s">
        <v>189</v>
      </c>
      <c r="B67" s="26">
        <f>IFERROR(VLOOKUP(A67, 'Current Decisions'!A:G, 7, FALSE), "")</f>
        <v>20</v>
      </c>
      <c r="C67" s="8">
        <v>1.0</v>
      </c>
      <c r="D67" s="72">
        <f t="shared" si="22"/>
        <v>1</v>
      </c>
      <c r="E67" s="8">
        <v>1.0</v>
      </c>
      <c r="F67" s="72">
        <f t="shared" si="21"/>
        <v>1</v>
      </c>
      <c r="G67" s="7" t="s">
        <v>564</v>
      </c>
    </row>
    <row r="68">
      <c r="A68" s="7" t="s">
        <v>214</v>
      </c>
      <c r="B68" s="26">
        <f>IFERROR(VLOOKUP(A68, 'Current Decisions'!A:G, 7, FALSE), "")</f>
        <v>20</v>
      </c>
      <c r="C68" s="8">
        <v>1.0</v>
      </c>
      <c r="D68" s="72">
        <f t="shared" si="22"/>
        <v>1</v>
      </c>
      <c r="E68" s="8">
        <v>0.0</v>
      </c>
      <c r="F68" s="72">
        <f t="shared" si="21"/>
        <v>0</v>
      </c>
      <c r="G68" s="7" t="s">
        <v>564</v>
      </c>
    </row>
    <row r="69">
      <c r="A69" s="7" t="s">
        <v>230</v>
      </c>
      <c r="B69" s="26">
        <f>IFERROR(VLOOKUP(A69, 'Current Decisions'!A:G, 7, FALSE), "")</f>
        <v>20</v>
      </c>
      <c r="C69" s="8">
        <v>1.0</v>
      </c>
      <c r="D69" s="72">
        <f t="shared" si="22"/>
        <v>1</v>
      </c>
      <c r="E69" s="8">
        <v>0.0</v>
      </c>
      <c r="F69" s="72">
        <f t="shared" si="21"/>
        <v>0</v>
      </c>
      <c r="G69" s="7" t="s">
        <v>564</v>
      </c>
    </row>
    <row r="70">
      <c r="A70" s="7" t="s">
        <v>233</v>
      </c>
      <c r="B70" s="72">
        <f>IFERROR(VLOOKUP(A70, 'Current Decisions'!A:G, 7, FALSE), "")</f>
        <v>20</v>
      </c>
      <c r="C70" s="8">
        <v>1.0</v>
      </c>
      <c r="D70" s="7">
        <v>1.0</v>
      </c>
      <c r="E70" s="7">
        <v>0.0</v>
      </c>
      <c r="F70" s="7">
        <v>0.0</v>
      </c>
      <c r="G70" s="7" t="s">
        <v>564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>
      <c r="A71" s="7" t="s">
        <v>264</v>
      </c>
      <c r="B71" s="26">
        <f>IFERROR(VLOOKUP(A71, 'Current Decisions'!A:G, 7, FALSE), "")</f>
        <v>20</v>
      </c>
      <c r="C71" s="8">
        <v>2.0</v>
      </c>
      <c r="D71" s="72">
        <f t="shared" ref="D71:D72" si="23">C71</f>
        <v>2</v>
      </c>
      <c r="E71" s="8">
        <v>2.0</v>
      </c>
      <c r="F71" s="72">
        <f t="shared" ref="F71:F72" si="24">E71</f>
        <v>2</v>
      </c>
      <c r="G71" s="7" t="s">
        <v>564</v>
      </c>
    </row>
    <row r="72">
      <c r="A72" s="7" t="s">
        <v>235</v>
      </c>
      <c r="B72" s="26">
        <f>IFERROR(VLOOKUP(A72, 'Current Decisions'!A:G, 7, FALSE), "")</f>
        <v>20</v>
      </c>
      <c r="C72" s="8">
        <v>1.0</v>
      </c>
      <c r="D72" s="72">
        <f t="shared" si="23"/>
        <v>1</v>
      </c>
      <c r="E72" s="8">
        <v>1.0</v>
      </c>
      <c r="F72" s="72">
        <f t="shared" si="24"/>
        <v>1</v>
      </c>
      <c r="G72" s="7" t="s">
        <v>564</v>
      </c>
    </row>
    <row r="73">
      <c r="A73" s="7" t="s">
        <v>311</v>
      </c>
      <c r="B73" s="26">
        <f>IFERROR(VLOOKUP(A73, 'Current Decisions'!A:G, 7, FALSE), "")</f>
        <v>17.2</v>
      </c>
      <c r="C73" s="8">
        <v>0.0</v>
      </c>
      <c r="D73" s="7">
        <v>0.0</v>
      </c>
      <c r="E73" s="8">
        <v>1.0</v>
      </c>
      <c r="F73" s="7">
        <v>1.0</v>
      </c>
      <c r="G73" s="29" t="s">
        <v>564</v>
      </c>
    </row>
    <row r="74">
      <c r="A74" s="7" t="s">
        <v>261</v>
      </c>
      <c r="B74" s="26">
        <f>IFERROR(VLOOKUP(A74, 'Current Decisions'!A:G, 7, FALSE), "")</f>
        <v>17</v>
      </c>
      <c r="C74" s="8">
        <v>1.0</v>
      </c>
      <c r="D74" s="7">
        <v>1.0</v>
      </c>
      <c r="E74" s="8">
        <v>1.0</v>
      </c>
      <c r="F74" s="7">
        <v>1.0</v>
      </c>
      <c r="G74" s="7" t="s">
        <v>564</v>
      </c>
      <c r="H74" s="77"/>
      <c r="I74" s="77"/>
      <c r="J74" s="77"/>
      <c r="K74" s="77"/>
      <c r="L74" s="77"/>
    </row>
    <row r="75">
      <c r="A75" s="7" t="s">
        <v>314</v>
      </c>
      <c r="B75" s="26">
        <f>IFERROR(VLOOKUP(A75, 'Current Decisions'!A:G, 7, FALSE), "")</f>
        <v>16.5</v>
      </c>
      <c r="C75" s="8">
        <v>1.0</v>
      </c>
      <c r="D75" s="7">
        <v>0.0</v>
      </c>
      <c r="E75" s="8">
        <v>0.0</v>
      </c>
      <c r="F75" s="7">
        <v>1.0</v>
      </c>
      <c r="G75" s="29" t="s">
        <v>564</v>
      </c>
    </row>
    <row r="76">
      <c r="A76" s="7" t="s">
        <v>62</v>
      </c>
      <c r="B76" s="26">
        <f>IFERROR(VLOOKUP(A76, 'Current Decisions'!A:G, 7, FALSE), "")</f>
        <v>15.6</v>
      </c>
      <c r="C76" s="29">
        <v>1.0</v>
      </c>
      <c r="D76" s="72">
        <f t="shared" ref="D76:D78" si="25">C76</f>
        <v>1</v>
      </c>
      <c r="E76" s="29">
        <v>0.0</v>
      </c>
      <c r="F76" s="72">
        <f t="shared" ref="F76:F78" si="26">E76</f>
        <v>0</v>
      </c>
      <c r="G76" s="7" t="s">
        <v>564</v>
      </c>
    </row>
    <row r="77">
      <c r="A77" s="7" t="s">
        <v>267</v>
      </c>
      <c r="B77" s="72">
        <f>IFERROR(VLOOKUP(A77, 'Current Decisions'!A:G, 7, FALSE), "")</f>
        <v>15.5</v>
      </c>
      <c r="C77" s="8">
        <v>2.0</v>
      </c>
      <c r="D77" s="72">
        <f t="shared" si="25"/>
        <v>2</v>
      </c>
      <c r="E77" s="8">
        <v>2.0</v>
      </c>
      <c r="F77" s="72">
        <f t="shared" si="26"/>
        <v>2</v>
      </c>
      <c r="G77" s="7" t="s">
        <v>564</v>
      </c>
    </row>
    <row r="78">
      <c r="A78" s="7" t="s">
        <v>74</v>
      </c>
      <c r="B78" s="72">
        <f>IFERROR(VLOOKUP(A78, 'Current Decisions'!A:G, 7, FALSE), "")</f>
        <v>15</v>
      </c>
      <c r="C78" s="8">
        <v>1.0</v>
      </c>
      <c r="D78" s="72">
        <f t="shared" si="25"/>
        <v>1</v>
      </c>
      <c r="E78" s="8">
        <v>1.0</v>
      </c>
      <c r="F78" s="72">
        <f t="shared" si="26"/>
        <v>1</v>
      </c>
      <c r="G78" s="7" t="s">
        <v>564</v>
      </c>
    </row>
    <row r="79">
      <c r="A79" s="7" t="s">
        <v>133</v>
      </c>
      <c r="B79" s="26">
        <f>IFERROR(VLOOKUP(A79, 'Current Decisions'!A:G, 7, FALSE), "")</f>
        <v>15</v>
      </c>
      <c r="C79" s="7">
        <v>0.0</v>
      </c>
      <c r="D79" s="7">
        <v>0.0</v>
      </c>
      <c r="E79" s="7">
        <v>1.0</v>
      </c>
      <c r="F79" s="7">
        <v>1.0</v>
      </c>
      <c r="G79" s="29" t="s">
        <v>564</v>
      </c>
    </row>
    <row r="80">
      <c r="A80" s="7" t="s">
        <v>175</v>
      </c>
      <c r="B80" s="26">
        <f>IFERROR(VLOOKUP(A80, 'Current Decisions'!A:G, 7, FALSE), "")</f>
        <v>14.7</v>
      </c>
      <c r="C80" s="8">
        <v>1.0</v>
      </c>
      <c r="D80" s="7">
        <v>1.0</v>
      </c>
      <c r="E80" s="8">
        <v>1.0</v>
      </c>
      <c r="F80" s="7">
        <v>1.0</v>
      </c>
      <c r="G80" s="7" t="s">
        <v>564</v>
      </c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</row>
    <row r="81">
      <c r="A81" s="7" t="s">
        <v>249</v>
      </c>
      <c r="B81" s="72">
        <f>IFERROR(VLOOKUP(A81, 'Current Decisions'!A:G, 7, FALSE), "")</f>
        <v>14.3</v>
      </c>
      <c r="C81" s="8">
        <v>2.0</v>
      </c>
      <c r="D81" s="72">
        <f>C81</f>
        <v>2</v>
      </c>
      <c r="E81" s="8">
        <v>0.0</v>
      </c>
      <c r="F81" s="72">
        <f>E81</f>
        <v>0</v>
      </c>
      <c r="G81" s="108" t="s">
        <v>564</v>
      </c>
    </row>
    <row r="82">
      <c r="A82" s="7" t="s">
        <v>80</v>
      </c>
      <c r="B82" s="72">
        <f>IFERROR(VLOOKUP(A82, 'Current Decisions'!A:G, 7, FALSE), "")</f>
        <v>13.2</v>
      </c>
      <c r="C82" s="8">
        <v>1.0</v>
      </c>
      <c r="D82" s="7">
        <v>0.0</v>
      </c>
      <c r="E82" s="8">
        <v>0.0</v>
      </c>
      <c r="F82" s="7">
        <v>1.0</v>
      </c>
      <c r="G82" s="7" t="s">
        <v>573</v>
      </c>
    </row>
    <row r="83">
      <c r="A83" s="8" t="s">
        <v>112</v>
      </c>
      <c r="B83" s="8">
        <f>IFERROR(VLOOKUP(A83, 'Current Decisions'!A:G, 7, FALSE), "")</f>
        <v>13.2</v>
      </c>
      <c r="C83" s="8">
        <v>2.0</v>
      </c>
      <c r="D83" s="7">
        <v>2.0</v>
      </c>
      <c r="E83" s="8">
        <v>0.0</v>
      </c>
      <c r="F83" s="7">
        <v>0.0</v>
      </c>
      <c r="G83" s="29" t="s">
        <v>564</v>
      </c>
      <c r="H83" s="7" t="s">
        <v>579</v>
      </c>
    </row>
    <row r="84">
      <c r="A84" s="8" t="s">
        <v>142</v>
      </c>
      <c r="B84" s="8">
        <f>IFERROR(VLOOKUP(A84, 'Current Decisions'!A:G, 7, FALSE), "")</f>
        <v>13.2</v>
      </c>
      <c r="C84" s="7">
        <v>0.0</v>
      </c>
      <c r="D84" s="7">
        <v>0.0</v>
      </c>
      <c r="E84" s="7">
        <v>1.0</v>
      </c>
      <c r="F84" s="7">
        <v>1.0</v>
      </c>
      <c r="G84" s="7" t="s">
        <v>573</v>
      </c>
      <c r="J84" s="104"/>
    </row>
    <row r="85">
      <c r="A85" s="8" t="s">
        <v>174</v>
      </c>
      <c r="B85" s="8">
        <f>IFERROR(VLOOKUP(A85, 'Current Decisions'!A:G, 7, FALSE), "")</f>
        <v>13.2</v>
      </c>
      <c r="C85" s="8">
        <v>0.0</v>
      </c>
      <c r="D85" s="7">
        <v>0.0</v>
      </c>
      <c r="E85" s="8">
        <v>1.0</v>
      </c>
      <c r="F85" s="7">
        <v>1.0</v>
      </c>
      <c r="G85" s="7" t="s">
        <v>564</v>
      </c>
    </row>
    <row r="86">
      <c r="A86" s="7" t="s">
        <v>280</v>
      </c>
      <c r="B86" s="26">
        <f>IFERROR(VLOOKUP(A86, 'Current Decisions'!A:G, 7, FALSE), "")</f>
        <v>13.2</v>
      </c>
      <c r="C86" s="7">
        <v>0.0</v>
      </c>
      <c r="D86" s="7">
        <v>0.0</v>
      </c>
      <c r="E86" s="7">
        <v>1.0</v>
      </c>
      <c r="F86" s="7">
        <v>1.0</v>
      </c>
      <c r="G86" s="7" t="s">
        <v>573</v>
      </c>
    </row>
    <row r="87">
      <c r="A87" s="8" t="s">
        <v>71</v>
      </c>
      <c r="B87" s="8">
        <f>IFERROR(VLOOKUP(A87, 'Current Decisions'!A:G, 7, FALSE), "")</f>
        <v>12.5</v>
      </c>
      <c r="C87" s="8">
        <v>1.0</v>
      </c>
      <c r="D87" s="7">
        <v>1.0</v>
      </c>
      <c r="E87" s="8">
        <v>0.0</v>
      </c>
      <c r="F87" s="7">
        <v>0.0</v>
      </c>
      <c r="G87" s="7" t="s">
        <v>564</v>
      </c>
    </row>
    <row r="88">
      <c r="A88" s="8" t="s">
        <v>245</v>
      </c>
      <c r="B88" s="8">
        <f>IFERROR(VLOOKUP(A88, 'Current Decisions'!A:G, 7, FALSE), "")</f>
        <v>12.5</v>
      </c>
      <c r="C88" s="8">
        <v>2.0</v>
      </c>
      <c r="D88" s="7">
        <v>2.0</v>
      </c>
      <c r="E88" s="8">
        <v>2.0</v>
      </c>
      <c r="F88" s="7">
        <v>2.0</v>
      </c>
      <c r="G88" s="7" t="s">
        <v>564</v>
      </c>
    </row>
    <row r="89">
      <c r="A89" s="7" t="s">
        <v>279</v>
      </c>
      <c r="B89" s="26">
        <f>IFERROR(VLOOKUP(A89, 'Current Decisions'!A:G, 7, FALSE), "")</f>
        <v>11.8</v>
      </c>
      <c r="C89" s="7">
        <v>0.0</v>
      </c>
      <c r="D89" s="7">
        <v>0.0</v>
      </c>
      <c r="E89" s="8">
        <v>1.0</v>
      </c>
      <c r="F89" s="7">
        <v>1.0</v>
      </c>
      <c r="G89" s="7" t="s">
        <v>564</v>
      </c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>
      <c r="A90" s="8" t="s">
        <v>89</v>
      </c>
      <c r="B90" s="8">
        <f>IFERROR(VLOOKUP(A90, 'Current Decisions'!A:G, 7, FALSE), "")</f>
        <v>11.7</v>
      </c>
      <c r="C90" s="7">
        <v>0.0</v>
      </c>
      <c r="D90" s="7">
        <v>0.0</v>
      </c>
      <c r="E90" s="7">
        <v>1.0</v>
      </c>
      <c r="F90" s="7">
        <v>1.0</v>
      </c>
      <c r="G90" s="7" t="s">
        <v>573</v>
      </c>
      <c r="J90" s="43"/>
      <c r="K90" s="29"/>
      <c r="L90" s="73"/>
    </row>
    <row r="91">
      <c r="A91" s="109" t="s">
        <v>187</v>
      </c>
      <c r="B91" s="109">
        <f>IFERROR(VLOOKUP(A91, 'Current Decisions'!A:G, 7, FALSE), "")</f>
        <v>11.7</v>
      </c>
      <c r="C91" s="110">
        <v>1.0</v>
      </c>
      <c r="D91" s="110">
        <v>0.0</v>
      </c>
      <c r="E91" s="110">
        <v>0.0</v>
      </c>
      <c r="F91" s="110">
        <v>1.0</v>
      </c>
      <c r="G91" s="110" t="s">
        <v>573</v>
      </c>
      <c r="H91" s="111"/>
      <c r="J91" s="43"/>
    </row>
    <row r="92">
      <c r="A92" s="67" t="s">
        <v>253</v>
      </c>
      <c r="B92" s="67">
        <f>IFERROR(VLOOKUP(A92, 'Current Decisions'!A:G, 7, FALSE), "")</f>
        <v>11.7</v>
      </c>
      <c r="C92" s="67">
        <v>1.0</v>
      </c>
      <c r="D92" s="30">
        <v>0.0</v>
      </c>
      <c r="E92" s="67">
        <v>0.0</v>
      </c>
      <c r="F92" s="30">
        <v>0.0</v>
      </c>
      <c r="G92" s="30" t="s">
        <v>565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</row>
    <row r="93">
      <c r="A93" s="67" t="s">
        <v>276</v>
      </c>
      <c r="B93" s="67">
        <f>IFERROR(VLOOKUP(A93, 'Current Decisions'!A:G, 7, FALSE), "")</f>
        <v>11</v>
      </c>
      <c r="C93" s="67">
        <v>1.0</v>
      </c>
      <c r="D93" s="30">
        <v>0.0</v>
      </c>
      <c r="E93" s="67">
        <v>1.0</v>
      </c>
      <c r="F93" s="30">
        <v>0.0</v>
      </c>
      <c r="G93" s="30" t="s">
        <v>565</v>
      </c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>
      <c r="A94" s="8" t="s">
        <v>123</v>
      </c>
      <c r="B94" s="8">
        <f>IFERROR(VLOOKUP(A94, 'Current Decisions'!A:G, 7, FALSE), "")</f>
        <v>10.3</v>
      </c>
      <c r="C94" s="7">
        <v>0.0</v>
      </c>
      <c r="D94" s="7">
        <v>0.0</v>
      </c>
      <c r="E94" s="7">
        <v>1.0</v>
      </c>
      <c r="F94" s="7">
        <v>1.0</v>
      </c>
      <c r="G94" s="7" t="s">
        <v>564</v>
      </c>
    </row>
    <row r="95">
      <c r="A95" s="8" t="s">
        <v>207</v>
      </c>
      <c r="B95" s="8">
        <f>IFERROR(VLOOKUP(A95, 'Current Decisions'!A:G, 7, FALSE), "")</f>
        <v>10.3</v>
      </c>
      <c r="C95" s="7">
        <v>0.0</v>
      </c>
      <c r="D95" s="7">
        <v>0.0</v>
      </c>
      <c r="E95" s="7">
        <v>1.0</v>
      </c>
      <c r="F95" s="7">
        <v>1.0</v>
      </c>
      <c r="G95" s="7" t="s">
        <v>573</v>
      </c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>
      <c r="A96" s="92" t="s">
        <v>205</v>
      </c>
      <c r="B96" s="92">
        <f>IFERROR(VLOOKUP(A96, 'Current Decisions'!A:G, 7, FALSE), "")</f>
        <v>9.5</v>
      </c>
      <c r="C96" s="91">
        <v>0.0</v>
      </c>
      <c r="D96" s="91">
        <v>0.0</v>
      </c>
      <c r="E96" s="92">
        <v>1.0</v>
      </c>
      <c r="F96" s="91">
        <v>1.0</v>
      </c>
      <c r="G96" s="91" t="s">
        <v>580</v>
      </c>
    </row>
    <row r="97">
      <c r="A97" s="7" t="s">
        <v>305</v>
      </c>
      <c r="B97" s="26">
        <f>IFERROR(VLOOKUP(A97, 'Current Decisions'!A:G, 7, FALSE), "")</f>
        <v>9.5</v>
      </c>
      <c r="C97" s="7">
        <v>0.0</v>
      </c>
      <c r="D97" s="7">
        <v>0.0</v>
      </c>
      <c r="E97" s="7">
        <v>1.0</v>
      </c>
      <c r="F97" s="7">
        <v>1.0</v>
      </c>
      <c r="G97" s="7" t="s">
        <v>573</v>
      </c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>
      <c r="A98" s="8" t="s">
        <v>271</v>
      </c>
      <c r="B98" s="8">
        <f>IFERROR(VLOOKUP(A98, 'Current Decisions'!A:G, 7, FALSE), "")</f>
        <v>9</v>
      </c>
      <c r="C98" s="7">
        <v>0.0</v>
      </c>
      <c r="D98" s="7">
        <v>0.0</v>
      </c>
      <c r="E98" s="7">
        <v>1.0</v>
      </c>
      <c r="F98" s="7">
        <v>1.0</v>
      </c>
      <c r="G98" s="7" t="s">
        <v>564</v>
      </c>
    </row>
    <row r="99">
      <c r="A99" s="7" t="s">
        <v>371</v>
      </c>
      <c r="B99" s="26">
        <f>IFERROR(VLOOKUP(A99, 'Current Decisions'!A:G, 7, FALSE), "")</f>
        <v>8.4</v>
      </c>
      <c r="C99" s="8">
        <v>1.0</v>
      </c>
      <c r="D99" s="7">
        <v>0.0</v>
      </c>
      <c r="E99" s="8">
        <v>0.0</v>
      </c>
      <c r="F99" s="7">
        <v>1.0</v>
      </c>
      <c r="G99" s="7" t="s">
        <v>564</v>
      </c>
    </row>
    <row r="100">
      <c r="A100" s="30" t="s">
        <v>376</v>
      </c>
      <c r="B100" s="71">
        <f>IFERROR(VLOOKUP(A100, 'Current Decisions'!A:G, 7, FALSE), "")</f>
        <v>8</v>
      </c>
      <c r="C100" s="67">
        <v>1.0</v>
      </c>
      <c r="D100" s="30">
        <v>0.0</v>
      </c>
      <c r="E100" s="67">
        <v>0.0</v>
      </c>
      <c r="F100" s="30">
        <v>0.0</v>
      </c>
      <c r="G100" s="114" t="s">
        <v>565</v>
      </c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>
      <c r="A101" s="7" t="s">
        <v>380</v>
      </c>
      <c r="B101" s="26">
        <f>IFERROR(VLOOKUP(A101, 'Current Decisions'!A:G, 7, FALSE), "")</f>
        <v>8</v>
      </c>
      <c r="C101" s="8">
        <v>0.0</v>
      </c>
      <c r="D101" s="7">
        <v>0.0</v>
      </c>
      <c r="E101" s="8">
        <v>1.0</v>
      </c>
      <c r="F101" s="7">
        <v>1.0</v>
      </c>
      <c r="G101" s="29" t="s">
        <v>564</v>
      </c>
      <c r="H101" s="29"/>
      <c r="I101" s="29"/>
    </row>
    <row r="102">
      <c r="A102" s="91" t="s">
        <v>225</v>
      </c>
      <c r="B102" s="115">
        <f>IFERROR(VLOOKUP(A102, 'Current Decisions'!A:G, 7, FALSE), "")</f>
        <v>6.7</v>
      </c>
      <c r="C102" s="116">
        <v>0.0</v>
      </c>
      <c r="D102" s="91">
        <v>0.0</v>
      </c>
      <c r="E102" s="116">
        <v>1.0</v>
      </c>
      <c r="F102" s="91">
        <v>1.0</v>
      </c>
      <c r="G102" s="91" t="s">
        <v>580</v>
      </c>
    </row>
    <row r="103">
      <c r="A103" s="7" t="s">
        <v>299</v>
      </c>
      <c r="B103" s="72">
        <f>IFERROR(VLOOKUP(A103, 'Current Decisions'!A:G, 7, FALSE), "")</f>
        <v>6.7</v>
      </c>
      <c r="C103" s="7">
        <v>0.0</v>
      </c>
      <c r="D103" s="7">
        <v>0.0</v>
      </c>
      <c r="E103" s="7">
        <v>1.0</v>
      </c>
      <c r="F103" s="7">
        <v>1.0</v>
      </c>
      <c r="G103" s="7" t="s">
        <v>573</v>
      </c>
    </row>
    <row r="104">
      <c r="A104" s="91" t="s">
        <v>13</v>
      </c>
      <c r="B104" s="113">
        <f>IFERROR(VLOOKUP(A104, 'Current Decisions'!A:G, 7, FALSE), "")</f>
        <v>5</v>
      </c>
      <c r="C104" s="91">
        <v>0.0</v>
      </c>
      <c r="D104" s="91">
        <v>0.0</v>
      </c>
      <c r="E104" s="92">
        <v>1.0</v>
      </c>
      <c r="F104" s="91">
        <v>1.0</v>
      </c>
      <c r="G104" s="91" t="s">
        <v>580</v>
      </c>
    </row>
    <row r="105">
      <c r="A105" s="7" t="s">
        <v>38</v>
      </c>
      <c r="B105" s="72">
        <f>IFERROR(VLOOKUP(A105, 'Current Decisions'!A:G, 7, FALSE), "")</f>
        <v>5</v>
      </c>
      <c r="C105" s="7">
        <v>0.0</v>
      </c>
      <c r="D105" s="7">
        <v>0.0</v>
      </c>
      <c r="E105" s="7">
        <v>1.0</v>
      </c>
      <c r="F105" s="7">
        <v>1.0</v>
      </c>
      <c r="G105" s="7" t="s">
        <v>573</v>
      </c>
    </row>
    <row r="106">
      <c r="A106" s="7" t="s">
        <v>104</v>
      </c>
      <c r="B106" s="72">
        <f>IFERROR(VLOOKUP(A106, 'Current Decisions'!A:G, 7, FALSE), "")</f>
        <v>5</v>
      </c>
      <c r="C106" s="8">
        <v>0.0</v>
      </c>
      <c r="D106" s="7">
        <v>0.0</v>
      </c>
      <c r="E106" s="8">
        <v>1.0</v>
      </c>
      <c r="F106" s="7">
        <v>1.0</v>
      </c>
      <c r="G106" s="7" t="s">
        <v>564</v>
      </c>
    </row>
    <row r="107">
      <c r="A107" s="7" t="s">
        <v>144</v>
      </c>
      <c r="B107" s="26">
        <f>IFERROR(VLOOKUP(A107, 'Current Decisions'!A:G, 7, FALSE), "")</f>
        <v>5</v>
      </c>
      <c r="C107" s="8">
        <v>2.0</v>
      </c>
      <c r="D107" s="7">
        <v>2.0</v>
      </c>
      <c r="E107" s="8">
        <v>2.0</v>
      </c>
      <c r="F107" s="7">
        <v>2.0</v>
      </c>
      <c r="G107" s="7" t="s">
        <v>564</v>
      </c>
      <c r="I107" s="29"/>
    </row>
    <row r="108">
      <c r="A108" s="7" t="s">
        <v>149</v>
      </c>
      <c r="B108" s="72">
        <f>IFERROR(VLOOKUP(A108, 'Current Decisions'!A:G, 7, FALSE), "")</f>
        <v>5</v>
      </c>
      <c r="C108" s="8">
        <v>0.0</v>
      </c>
      <c r="D108" s="7">
        <v>0.0</v>
      </c>
      <c r="E108" s="8">
        <v>1.0</v>
      </c>
      <c r="F108" s="7">
        <v>1.0</v>
      </c>
      <c r="G108" s="7" t="s">
        <v>564</v>
      </c>
    </row>
    <row r="109">
      <c r="A109" s="7" t="s">
        <v>216</v>
      </c>
      <c r="B109" s="26">
        <f>IFERROR(VLOOKUP(A109, 'Current Decisions'!A:G, 7, FALSE), "")</f>
        <v>5</v>
      </c>
      <c r="C109" s="7">
        <v>0.0</v>
      </c>
      <c r="D109" s="7">
        <v>0.0</v>
      </c>
      <c r="E109" s="7">
        <v>1.0</v>
      </c>
      <c r="F109" s="7">
        <v>1.0</v>
      </c>
      <c r="G109" s="7" t="s">
        <v>564</v>
      </c>
      <c r="J109" s="43"/>
    </row>
    <row r="110">
      <c r="A110" s="7" t="s">
        <v>275</v>
      </c>
      <c r="B110" s="26">
        <f>IFERROR(VLOOKUP(A110, 'Current Decisions'!A:G, 7, FALSE), "")</f>
        <v>5</v>
      </c>
      <c r="C110" s="8">
        <v>1.0</v>
      </c>
      <c r="D110" s="7">
        <v>1.0</v>
      </c>
      <c r="E110" s="8">
        <v>1.0</v>
      </c>
      <c r="F110" s="7">
        <v>1.0</v>
      </c>
      <c r="G110" s="7" t="s">
        <v>564</v>
      </c>
    </row>
    <row r="111">
      <c r="A111" s="7" t="s">
        <v>297</v>
      </c>
      <c r="B111" s="72">
        <f>IFERROR(VLOOKUP(A111, 'Current Decisions'!A:G, 7, FALSE), "")</f>
        <v>0</v>
      </c>
      <c r="C111" s="8">
        <v>1.0</v>
      </c>
      <c r="D111" s="7">
        <v>1.0</v>
      </c>
      <c r="E111" s="8">
        <v>1.0</v>
      </c>
      <c r="F111" s="7">
        <v>1.0</v>
      </c>
      <c r="G111" s="7" t="s">
        <v>564</v>
      </c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>
      <c r="A112" s="7" t="s">
        <v>408</v>
      </c>
      <c r="B112" s="72">
        <f>IFERROR(VLOOKUP(A112, 'Current Decisions'!A:G, 7, FALSE), "")</f>
        <v>46</v>
      </c>
      <c r="C112" s="8">
        <v>1.0</v>
      </c>
      <c r="D112" s="7">
        <v>0.0</v>
      </c>
      <c r="E112" s="8">
        <v>0.0</v>
      </c>
      <c r="F112" s="7">
        <v>1.0</v>
      </c>
      <c r="G112" s="7" t="s">
        <v>573</v>
      </c>
    </row>
    <row r="113" ht="15.0" customHeight="1">
      <c r="A113" s="7" t="s">
        <v>409</v>
      </c>
      <c r="B113" s="72">
        <f>IFERROR(VLOOKUP(A113, 'Current Decisions'!A:G, 7, FALSE), "")</f>
        <v>37.5</v>
      </c>
      <c r="C113" s="8">
        <v>1.0</v>
      </c>
      <c r="D113" s="7">
        <v>0.0</v>
      </c>
      <c r="E113" s="8">
        <v>0.0</v>
      </c>
      <c r="F113" s="7">
        <v>1.0</v>
      </c>
      <c r="G113" s="7" t="s">
        <v>573</v>
      </c>
    </row>
    <row r="114">
      <c r="A114" s="7" t="s">
        <v>412</v>
      </c>
      <c r="B114" s="26">
        <f>IFERROR(VLOOKUP(A114, 'Current Decisions'!A:G, 7, FALSE), "")</f>
        <v>10.5</v>
      </c>
      <c r="C114" s="7">
        <v>0.0</v>
      </c>
      <c r="D114" s="7">
        <v>0.0</v>
      </c>
      <c r="E114" s="7">
        <v>1.0</v>
      </c>
      <c r="F114" s="7">
        <v>1.0</v>
      </c>
      <c r="G114" s="7" t="s">
        <v>564</v>
      </c>
    </row>
    <row r="115">
      <c r="A115" s="7" t="s">
        <v>413</v>
      </c>
      <c r="B115" s="72">
        <f>IFERROR(VLOOKUP(A115, 'Current Decisions'!A:G, 7, FALSE), "")</f>
        <v>29.9</v>
      </c>
      <c r="C115" s="7">
        <v>0.0</v>
      </c>
      <c r="D115" s="7">
        <v>0.0</v>
      </c>
      <c r="E115" s="7">
        <v>1.0</v>
      </c>
      <c r="F115" s="7">
        <v>1.0</v>
      </c>
      <c r="G115" s="7" t="s">
        <v>573</v>
      </c>
    </row>
    <row r="116">
      <c r="A116" s="7" t="s">
        <v>415</v>
      </c>
      <c r="B116" s="26">
        <f>IFERROR(VLOOKUP(A116, 'Current Decisions'!A:G, 7, FALSE), "")</f>
        <v>22.5</v>
      </c>
      <c r="C116" s="7">
        <v>0.0</v>
      </c>
      <c r="D116" s="7">
        <v>0.0</v>
      </c>
      <c r="E116" s="7">
        <v>1.0</v>
      </c>
      <c r="F116" s="7">
        <v>1.0</v>
      </c>
      <c r="G116" s="29" t="s">
        <v>573</v>
      </c>
    </row>
    <row r="117">
      <c r="A117" s="7" t="s">
        <v>419</v>
      </c>
      <c r="B117" s="72">
        <f>IFERROR(VLOOKUP(A117, 'Current Decisions'!A:G, 7, FALSE), "")</f>
        <v>23.8</v>
      </c>
      <c r="C117" s="8">
        <v>1.0</v>
      </c>
      <c r="E117" s="8">
        <v>0.0</v>
      </c>
      <c r="G117" s="29" t="s">
        <v>571</v>
      </c>
    </row>
    <row r="118">
      <c r="A118" s="7" t="s">
        <v>437</v>
      </c>
      <c r="B118" s="26">
        <f>IFERROR(VLOOKUP(A118, 'Current Decisions'!A:G, 7, FALSE), "")</f>
        <v>20</v>
      </c>
      <c r="C118" s="7">
        <v>0.0</v>
      </c>
      <c r="D118" s="7">
        <v>0.0</v>
      </c>
      <c r="E118" s="8">
        <v>1.0</v>
      </c>
      <c r="F118" s="7">
        <v>1.0</v>
      </c>
      <c r="G118" s="29" t="s">
        <v>564</v>
      </c>
    </row>
    <row r="119">
      <c r="A119" s="7" t="s">
        <v>441</v>
      </c>
      <c r="B119" s="26">
        <f>IFERROR(VLOOKUP(A119, 'Current Decisions'!A:G, 7, FALSE), "")</f>
        <v>32.9</v>
      </c>
      <c r="C119" s="7">
        <v>0.0</v>
      </c>
      <c r="D119" s="7">
        <v>0.0</v>
      </c>
      <c r="E119" s="7">
        <v>1.0</v>
      </c>
      <c r="F119" s="29">
        <v>1.0</v>
      </c>
      <c r="G119" s="29" t="s">
        <v>573</v>
      </c>
    </row>
    <row r="120">
      <c r="A120" s="99" t="s">
        <v>445</v>
      </c>
      <c r="B120" s="117">
        <f>IFERROR(VLOOKUP(A120, 'Current Decisions'!A:G, 7, FALSE), "")</f>
        <v>25.42</v>
      </c>
      <c r="C120" s="117">
        <v>1.0</v>
      </c>
      <c r="D120" s="99">
        <v>1.0</v>
      </c>
      <c r="E120" s="117">
        <v>0.0</v>
      </c>
      <c r="F120" s="99">
        <v>0.0</v>
      </c>
      <c r="G120" s="29" t="s">
        <v>564</v>
      </c>
      <c r="J120" s="43"/>
    </row>
    <row r="121">
      <c r="A121" s="7" t="s">
        <v>447</v>
      </c>
      <c r="B121" s="94">
        <f>IFERROR(VLOOKUP(A121, 'Current Decisions'!A:G, 7, FALSE), "")</f>
        <v>10.3</v>
      </c>
      <c r="C121" s="8">
        <v>0.0</v>
      </c>
      <c r="D121" s="7">
        <v>0.0</v>
      </c>
      <c r="E121" s="8">
        <v>1.0</v>
      </c>
      <c r="F121" s="7">
        <v>1.0</v>
      </c>
      <c r="G121" s="7" t="s">
        <v>564</v>
      </c>
      <c r="J121" s="43"/>
    </row>
    <row r="122">
      <c r="A122" s="7" t="s">
        <v>451</v>
      </c>
      <c r="B122" s="26">
        <f>IFERROR(VLOOKUP(A122, 'Current Decisions'!A:G, 7, FALSE), "")</f>
        <v>32.3</v>
      </c>
      <c r="C122" s="8">
        <v>1.0</v>
      </c>
      <c r="D122" s="7">
        <v>0.0</v>
      </c>
      <c r="E122" s="8">
        <v>0.0</v>
      </c>
      <c r="F122" s="7">
        <v>1.0</v>
      </c>
      <c r="G122" s="7" t="s">
        <v>564</v>
      </c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>
      <c r="A123" s="7" t="s">
        <v>459</v>
      </c>
      <c r="B123" s="72">
        <f>IFERROR(VLOOKUP(A123, 'Current Decisions'!A:G, 7, FALSE), "")</f>
        <v>6.7</v>
      </c>
      <c r="C123" s="8">
        <v>1.0</v>
      </c>
      <c r="D123" s="7">
        <v>0.0</v>
      </c>
      <c r="E123" s="8">
        <v>0.0</v>
      </c>
      <c r="F123" s="7">
        <v>1.0</v>
      </c>
      <c r="G123" s="29" t="s">
        <v>573</v>
      </c>
    </row>
    <row r="124" ht="16.5" customHeight="1">
      <c r="A124" s="7" t="s">
        <v>461</v>
      </c>
      <c r="B124" s="26">
        <f>IFERROR(VLOOKUP(A124, 'Current Decisions'!A:G, 7, FALSE), "")</f>
        <v>19.5</v>
      </c>
      <c r="C124" s="7">
        <v>0.0</v>
      </c>
      <c r="D124" s="7">
        <v>0.0</v>
      </c>
      <c r="E124" s="8">
        <v>1.0</v>
      </c>
      <c r="F124" s="7">
        <v>1.0</v>
      </c>
      <c r="G124" s="7" t="s">
        <v>573</v>
      </c>
    </row>
    <row r="125">
      <c r="A125" s="7" t="s">
        <v>482</v>
      </c>
      <c r="B125" s="72">
        <f>IFERROR(VLOOKUP(A125, 'Current Decisions'!A:G, 7, FALSE), "")</f>
        <v>8</v>
      </c>
      <c r="C125" s="8">
        <v>1.0</v>
      </c>
      <c r="D125" s="7">
        <v>0.0</v>
      </c>
      <c r="E125" s="8">
        <v>1.0</v>
      </c>
      <c r="F125" s="7">
        <v>1.0</v>
      </c>
      <c r="G125" s="29" t="s">
        <v>573</v>
      </c>
    </row>
    <row r="126">
      <c r="A126" s="7" t="s">
        <v>490</v>
      </c>
      <c r="B126" s="72">
        <f>IFERROR(VLOOKUP(A126, 'Current Decisions'!A:G, 7, FALSE), "")</f>
        <v>21</v>
      </c>
      <c r="C126" s="8">
        <v>1.0</v>
      </c>
      <c r="E126" s="8">
        <v>0.0</v>
      </c>
      <c r="G126" s="29" t="s">
        <v>571</v>
      </c>
    </row>
    <row r="127">
      <c r="A127" s="7" t="s">
        <v>498</v>
      </c>
      <c r="B127" s="72">
        <f>IFERROR(VLOOKUP(A127, 'Current Decisions'!A:G, 7, FALSE), "")</f>
        <v>13</v>
      </c>
      <c r="C127" s="8">
        <v>0.0</v>
      </c>
      <c r="D127" s="7">
        <v>0.0</v>
      </c>
      <c r="E127" s="8">
        <v>1.0</v>
      </c>
      <c r="F127" s="7">
        <v>1.0</v>
      </c>
      <c r="G127" s="29" t="s">
        <v>564</v>
      </c>
    </row>
    <row r="128">
      <c r="A128" s="7" t="s">
        <v>502</v>
      </c>
      <c r="B128" s="72">
        <f>IFERROR(VLOOKUP(A128, 'Current Decisions'!A:G, 7, FALSE), "")</f>
        <v>15.1</v>
      </c>
      <c r="C128" s="8">
        <v>1.0</v>
      </c>
      <c r="D128" s="7">
        <v>0.0</v>
      </c>
      <c r="E128" s="8">
        <v>0.0</v>
      </c>
      <c r="F128" s="7">
        <v>1.0</v>
      </c>
      <c r="G128" s="29" t="s">
        <v>573</v>
      </c>
    </row>
    <row r="129">
      <c r="A129" s="7" t="s">
        <v>512</v>
      </c>
      <c r="B129" s="26" t="str">
        <f>IFERROR(VLOOKUP(A129, 'Current Decisions'!A:G, 7, FALSE), "")</f>
        <v>needs update</v>
      </c>
      <c r="C129" s="8">
        <v>1.0</v>
      </c>
      <c r="E129" s="8">
        <v>0.0</v>
      </c>
      <c r="G129" s="29"/>
    </row>
    <row r="130">
      <c r="A130" s="30" t="s">
        <v>513</v>
      </c>
      <c r="B130" s="67" t="str">
        <f>IFERROR(VLOOKUP(A130, 'Current Decisions'!A:G, 7, FALSE), "")</f>
        <v>needs update</v>
      </c>
      <c r="C130" s="67">
        <v>1.0</v>
      </c>
      <c r="D130" s="77"/>
      <c r="E130" s="67">
        <v>0.0</v>
      </c>
      <c r="F130" s="77"/>
      <c r="G130" s="114"/>
    </row>
    <row r="131">
      <c r="A131" s="7" t="s">
        <v>512</v>
      </c>
      <c r="B131" s="26" t="str">
        <f>IFERROR(VLOOKUP(A131, 'Current Decisions'!A:G, 7, FALSE), "")</f>
        <v>needs update</v>
      </c>
      <c r="C131" s="8">
        <v>1.0</v>
      </c>
      <c r="E131" s="8">
        <v>0.0</v>
      </c>
      <c r="G131" s="29"/>
    </row>
    <row r="132">
      <c r="A132" s="7" t="s">
        <v>513</v>
      </c>
      <c r="B132" s="26" t="str">
        <f>IFERROR(VLOOKUP(A132, 'Current Decisions'!A:G, 7, FALSE), "")</f>
        <v>needs update</v>
      </c>
      <c r="C132" s="8">
        <v>1.0</v>
      </c>
      <c r="E132" s="8">
        <v>0.0</v>
      </c>
      <c r="G132" s="29"/>
    </row>
    <row r="133">
      <c r="A133" s="7" t="s">
        <v>512</v>
      </c>
      <c r="B133" s="26" t="str">
        <f>IFERROR(VLOOKUP(A133, 'Current Decisions'!A:G, 7, FALSE), "")</f>
        <v>needs update</v>
      </c>
      <c r="C133" s="8">
        <v>1.0</v>
      </c>
      <c r="E133" s="8">
        <v>0.0</v>
      </c>
    </row>
    <row r="134">
      <c r="A134" s="7" t="s">
        <v>513</v>
      </c>
      <c r="B134" s="26" t="str">
        <f>IFERROR(VLOOKUP(A134, 'Current Decisions'!A:G, 7, FALSE), "")</f>
        <v>needs update</v>
      </c>
      <c r="C134" s="8">
        <v>1.0</v>
      </c>
      <c r="E134" s="8">
        <v>0.0</v>
      </c>
      <c r="G134" s="29"/>
    </row>
    <row r="135">
      <c r="B135" s="26"/>
      <c r="G135" s="29"/>
    </row>
    <row r="137">
      <c r="B137" s="26"/>
    </row>
    <row r="138">
      <c r="B138" s="26"/>
    </row>
    <row r="139">
      <c r="B139" s="26"/>
      <c r="G139" s="29"/>
    </row>
    <row r="140">
      <c r="A140" s="102"/>
      <c r="B140" s="118"/>
      <c r="C140" s="119"/>
      <c r="D140" s="102"/>
      <c r="E140" s="119"/>
      <c r="F140" s="102"/>
      <c r="G140" s="102"/>
    </row>
    <row r="141">
      <c r="A141" s="30"/>
      <c r="B141" s="71"/>
      <c r="C141" s="67"/>
      <c r="D141" s="30"/>
      <c r="E141" s="67"/>
      <c r="F141" s="30"/>
      <c r="G141" s="30"/>
    </row>
    <row r="142">
      <c r="B142" s="26"/>
    </row>
    <row r="144">
      <c r="B144" s="26"/>
    </row>
    <row r="145">
      <c r="B145" s="26"/>
    </row>
    <row r="147">
      <c r="B147" s="26"/>
    </row>
    <row r="148">
      <c r="A148" s="30"/>
      <c r="B148" s="71"/>
      <c r="C148" s="67"/>
      <c r="D148" s="30"/>
      <c r="E148" s="67"/>
      <c r="F148" s="30"/>
      <c r="G148" s="30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A156" s="102"/>
      <c r="B156" s="118"/>
      <c r="C156" s="119"/>
      <c r="D156" s="102"/>
      <c r="E156" s="119"/>
      <c r="F156" s="102"/>
      <c r="G156" s="102"/>
    </row>
    <row r="158">
      <c r="A158" s="30"/>
      <c r="B158" s="67"/>
      <c r="C158" s="67"/>
      <c r="D158" s="30"/>
      <c r="E158" s="67"/>
      <c r="F158" s="30"/>
      <c r="G158" s="30"/>
    </row>
    <row r="159">
      <c r="B159" s="26"/>
    </row>
    <row r="160">
      <c r="B160" s="26"/>
    </row>
    <row r="161">
      <c r="A161" s="120"/>
      <c r="B161" s="121"/>
      <c r="C161" s="120"/>
      <c r="D161" s="120"/>
      <c r="E161" s="120"/>
      <c r="F161" s="120"/>
    </row>
    <row r="162">
      <c r="A162" s="30"/>
      <c r="B162" s="71"/>
      <c r="C162" s="67"/>
      <c r="D162" s="30"/>
      <c r="E162" s="67"/>
      <c r="F162" s="30"/>
      <c r="G162" s="30"/>
    </row>
    <row r="163">
      <c r="B163" s="26"/>
    </row>
    <row r="164">
      <c r="B164" s="26"/>
    </row>
    <row r="165">
      <c r="B165" s="26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</row>
    <row r="166">
      <c r="B166" s="26"/>
    </row>
    <row r="167">
      <c r="A167" s="30"/>
      <c r="B167" s="67"/>
      <c r="C167" s="67"/>
      <c r="D167" s="30"/>
      <c r="E167" s="67"/>
      <c r="F167" s="30"/>
      <c r="G167" s="30"/>
    </row>
    <row r="168">
      <c r="A168" s="30"/>
      <c r="B168" s="71"/>
      <c r="C168" s="67"/>
      <c r="D168" s="30"/>
      <c r="E168" s="67"/>
      <c r="F168" s="30"/>
      <c r="G168" s="30"/>
    </row>
    <row r="169">
      <c r="B169" s="26"/>
    </row>
    <row r="170">
      <c r="A170" s="122"/>
      <c r="B170" s="123"/>
      <c r="C170" s="124"/>
      <c r="D170" s="122"/>
      <c r="E170" s="124"/>
      <c r="F170" s="122"/>
      <c r="G170" s="122"/>
    </row>
    <row r="171">
      <c r="B171" s="26"/>
    </row>
    <row r="173">
      <c r="A173" s="102"/>
      <c r="B173" s="118"/>
      <c r="C173" s="119"/>
      <c r="D173" s="102"/>
      <c r="E173" s="119"/>
      <c r="F173" s="102"/>
      <c r="G173" s="102"/>
    </row>
    <row r="174">
      <c r="B174" s="19"/>
      <c r="G174" s="102"/>
    </row>
    <row r="175">
      <c r="A175" s="30"/>
      <c r="B175" s="71"/>
      <c r="C175" s="67"/>
      <c r="D175" s="30"/>
      <c r="E175" s="67"/>
      <c r="F175" s="30"/>
      <c r="G175" s="30"/>
    </row>
    <row r="177">
      <c r="A177" s="102"/>
      <c r="B177" s="118"/>
      <c r="C177" s="119"/>
      <c r="D177" s="102"/>
      <c r="E177" s="119"/>
      <c r="F177" s="102"/>
      <c r="G177" s="102"/>
    </row>
    <row r="178">
      <c r="B178" s="26"/>
    </row>
    <row r="179">
      <c r="A179" s="120"/>
      <c r="B179" s="121"/>
      <c r="C179" s="125"/>
      <c r="D179" s="120"/>
      <c r="E179" s="125"/>
      <c r="F179" s="120"/>
      <c r="G179" s="120"/>
    </row>
    <row r="181">
      <c r="A181" s="102"/>
      <c r="B181" s="118"/>
      <c r="C181" s="102"/>
      <c r="D181" s="102"/>
      <c r="E181" s="102"/>
      <c r="F181" s="102"/>
      <c r="G181" s="102"/>
    </row>
    <row r="182">
      <c r="B182" s="26"/>
    </row>
    <row r="183">
      <c r="B183" s="26"/>
      <c r="G183" s="102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A191" s="102"/>
      <c r="B191" s="118"/>
      <c r="C191" s="102"/>
      <c r="D191" s="102"/>
      <c r="E191" s="102"/>
      <c r="F191" s="102"/>
      <c r="G191" s="102"/>
    </row>
    <row r="192">
      <c r="A192" s="99"/>
      <c r="B192" s="126"/>
      <c r="C192" s="117"/>
      <c r="D192" s="99"/>
      <c r="E192" s="117"/>
      <c r="F192" s="99"/>
      <c r="G192" s="102"/>
    </row>
    <row r="193">
      <c r="B193" s="26"/>
    </row>
    <row r="194">
      <c r="B194" s="26"/>
    </row>
    <row r="196">
      <c r="B196" s="26"/>
      <c r="L196" s="73"/>
    </row>
    <row r="197">
      <c r="B197" s="26"/>
    </row>
    <row r="198">
      <c r="A198" s="120"/>
      <c r="B198" s="121"/>
      <c r="C198" s="125"/>
      <c r="D198" s="120"/>
      <c r="E198" s="125"/>
      <c r="F198" s="120"/>
      <c r="G198" s="120"/>
    </row>
    <row r="199">
      <c r="B199" s="26"/>
    </row>
    <row r="200">
      <c r="A200" s="30"/>
      <c r="B200" s="71"/>
      <c r="C200" s="67"/>
      <c r="D200" s="30"/>
      <c r="E200" s="67"/>
      <c r="F200" s="30"/>
      <c r="G200" s="30"/>
    </row>
    <row r="202">
      <c r="B202" s="26"/>
    </row>
    <row r="203">
      <c r="A203" s="102"/>
      <c r="B203" s="118"/>
      <c r="C203" s="119"/>
      <c r="D203" s="102"/>
      <c r="E203" s="119"/>
      <c r="F203" s="102"/>
      <c r="G203" s="102"/>
    </row>
    <row r="204">
      <c r="B204" s="26"/>
    </row>
    <row r="205">
      <c r="B205" s="26"/>
    </row>
    <row r="206">
      <c r="A206" s="102"/>
      <c r="B206" s="119"/>
      <c r="C206" s="119"/>
      <c r="D206" s="102"/>
      <c r="E206" s="119"/>
      <c r="F206" s="102"/>
      <c r="G206" s="102"/>
    </row>
    <row r="208">
      <c r="B208" s="26"/>
    </row>
    <row r="209">
      <c r="A209" s="30"/>
      <c r="B209" s="71"/>
      <c r="C209" s="67"/>
      <c r="D209" s="30"/>
      <c r="E209" s="67"/>
      <c r="F209" s="30"/>
      <c r="G209" s="30"/>
    </row>
    <row r="210">
      <c r="A210" s="102"/>
      <c r="B210" s="118"/>
      <c r="C210" s="119"/>
      <c r="D210" s="102"/>
      <c r="E210" s="119"/>
      <c r="F210" s="102"/>
      <c r="G210" s="102"/>
    </row>
    <row r="211">
      <c r="A211" s="30"/>
      <c r="B211" s="71"/>
      <c r="C211" s="67"/>
      <c r="D211" s="77"/>
      <c r="E211" s="67"/>
      <c r="F211" s="77"/>
      <c r="G211" s="30"/>
    </row>
    <row r="212">
      <c r="B212" s="26"/>
    </row>
    <row r="213">
      <c r="A213" s="30"/>
      <c r="B213" s="71"/>
      <c r="C213" s="67"/>
      <c r="D213" s="30"/>
      <c r="E213" s="67"/>
      <c r="F213" s="30"/>
      <c r="G213" s="30"/>
    </row>
    <row r="214">
      <c r="A214" s="30"/>
      <c r="B214" s="71"/>
      <c r="C214" s="67"/>
      <c r="D214" s="30"/>
      <c r="E214" s="67"/>
      <c r="F214" s="30"/>
      <c r="G214" s="30"/>
    </row>
    <row r="215">
      <c r="B215" s="26"/>
    </row>
    <row r="216">
      <c r="B216" s="26"/>
    </row>
    <row r="218">
      <c r="B218" s="26"/>
    </row>
    <row r="219">
      <c r="B219" s="26"/>
    </row>
    <row r="220">
      <c r="A220" s="30"/>
      <c r="B220" s="67"/>
      <c r="C220" s="67"/>
      <c r="D220" s="30"/>
      <c r="E220" s="67"/>
      <c r="F220" s="30"/>
      <c r="G220" s="30"/>
    </row>
    <row r="221">
      <c r="B221" s="26"/>
    </row>
    <row r="223">
      <c r="A223" s="30"/>
      <c r="B223" s="71"/>
      <c r="C223" s="67"/>
      <c r="D223" s="30"/>
      <c r="E223" s="67"/>
      <c r="F223" s="30"/>
      <c r="G223" s="30"/>
    </row>
    <row r="224">
      <c r="A224" s="30"/>
      <c r="B224" s="71"/>
      <c r="C224" s="67"/>
      <c r="D224" s="30"/>
      <c r="E224" s="67"/>
      <c r="F224" s="30"/>
      <c r="G224" s="30"/>
    </row>
    <row r="225">
      <c r="B225" s="26"/>
    </row>
    <row r="226">
      <c r="B226" s="26"/>
    </row>
    <row r="227">
      <c r="A227" s="120"/>
      <c r="B227" s="121"/>
      <c r="C227" s="120"/>
      <c r="D227" s="120"/>
      <c r="E227" s="120"/>
      <c r="F227" s="120"/>
    </row>
    <row r="228">
      <c r="B228" s="26"/>
    </row>
  </sheetData>
  <autoFilter ref="$A$1:$L$228">
    <sortState ref="A1:L228">
      <sortCondition descending="1" ref="B1:B228"/>
    </sortState>
  </autoFilter>
  <conditionalFormatting sqref="G122">
    <cfRule type="expression" dxfId="7" priority="1">
      <formula>$G123 = "R"</formula>
    </cfRule>
  </conditionalFormatting>
  <conditionalFormatting sqref="G122">
    <cfRule type="expression" dxfId="8" priority="2">
      <formula>OR($G122="W",ISBLANK($G122))</formula>
    </cfRule>
  </conditionalFormatting>
  <conditionalFormatting sqref="A2:G154 A165:G165">
    <cfRule type="expression" dxfId="5" priority="3">
      <formula>OR($G2="C",$G2="Confirmed in Symplicity")</formula>
    </cfRule>
  </conditionalFormatting>
  <conditionalFormatting sqref="A2:F117 G2:G122 G124:G145 A165:G165">
    <cfRule type="expression" dxfId="8" priority="4">
      <formula>OR($G2="W",$G2="W/R")</formula>
    </cfRule>
  </conditionalFormatting>
  <conditionalFormatting sqref="A2:G494">
    <cfRule type="expression" dxfId="6" priority="5">
      <formula>$G2="C - BTT"</formula>
    </cfRule>
  </conditionalFormatting>
  <conditionalFormatting sqref="A2:F131 G2:G145 A165:G165">
    <cfRule type="expression" dxfId="7" priority="6">
      <formula>$G2="R"</formula>
    </cfRule>
  </conditionalFormatting>
  <conditionalFormatting sqref="J52">
    <cfRule type="notContainsBlanks" dxfId="4" priority="7">
      <formula>LEN(TRIM(J52))&gt;0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5"/>
    <col customWidth="1" min="8" max="9" width="28.25"/>
  </cols>
  <sheetData>
    <row r="1">
      <c r="A1" s="7" t="s">
        <v>581</v>
      </c>
      <c r="B1" s="43" t="s">
        <v>563</v>
      </c>
      <c r="C1" s="43" t="s">
        <v>8</v>
      </c>
      <c r="D1" s="43" t="s">
        <v>9</v>
      </c>
      <c r="E1" s="43" t="s">
        <v>10</v>
      </c>
      <c r="F1" s="43" t="s">
        <v>11</v>
      </c>
      <c r="G1" s="7" t="s">
        <v>7</v>
      </c>
    </row>
    <row r="2">
      <c r="A2" s="7" t="s">
        <v>75</v>
      </c>
      <c r="B2" s="26">
        <f>IFERROR(VLOOKUP(A2, 'Current Decisions'!A:G, 7, FALSE), "")</f>
        <v>60.8</v>
      </c>
      <c r="C2" s="8">
        <v>1.0</v>
      </c>
      <c r="D2" s="72">
        <f t="shared" ref="D2:D3" si="1">C2</f>
        <v>1</v>
      </c>
      <c r="E2" s="7">
        <v>0.0</v>
      </c>
      <c r="F2" s="7">
        <v>0.0</v>
      </c>
      <c r="G2" s="14" t="s">
        <v>564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>
      <c r="A3" s="7" t="s">
        <v>118</v>
      </c>
      <c r="B3" s="19">
        <f>IFERROR(VLOOKUP(A3, 'Current Decisions'!A:G, 7, FALSE), "")</f>
        <v>48.7</v>
      </c>
      <c r="C3" s="8">
        <v>3.0</v>
      </c>
      <c r="D3" s="72">
        <f t="shared" si="1"/>
        <v>3</v>
      </c>
      <c r="E3" s="8">
        <v>0.0</v>
      </c>
      <c r="F3" s="72">
        <f>E3</f>
        <v>0</v>
      </c>
      <c r="G3" s="14" t="s">
        <v>564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7" t="s">
        <v>312</v>
      </c>
      <c r="B4" s="19">
        <f>IFERROR(VLOOKUP(A4, 'Current Decisions'!A:G, 7, FALSE), "")</f>
        <v>39.6</v>
      </c>
      <c r="C4" s="8">
        <v>2.0</v>
      </c>
      <c r="D4" s="7">
        <v>2.0</v>
      </c>
      <c r="E4" s="8">
        <v>0.0</v>
      </c>
      <c r="F4" s="7">
        <v>0.0</v>
      </c>
      <c r="G4" s="14" t="s">
        <v>564</v>
      </c>
    </row>
    <row r="5">
      <c r="A5" s="7" t="s">
        <v>433</v>
      </c>
      <c r="B5" s="72">
        <f>IFERROR(VLOOKUP(A5, 'Current Decisions'!A:G, 7, FALSE), "")</f>
        <v>39.5</v>
      </c>
      <c r="C5" s="8">
        <v>1.0</v>
      </c>
      <c r="D5" s="7">
        <v>1.0</v>
      </c>
      <c r="E5" s="8">
        <v>0.0</v>
      </c>
      <c r="F5" s="7">
        <v>0.0</v>
      </c>
      <c r="G5" s="14" t="s">
        <v>564</v>
      </c>
      <c r="H5" s="127"/>
      <c r="I5" s="127"/>
    </row>
    <row r="6">
      <c r="A6" s="7" t="s">
        <v>307</v>
      </c>
      <c r="B6" s="72">
        <f>IFERROR(VLOOKUP(A6, 'Current Decisions'!A:G, 7, FALSE), "")</f>
        <v>29.7</v>
      </c>
      <c r="C6" s="8">
        <v>1.0</v>
      </c>
      <c r="D6" s="7">
        <v>1.0</v>
      </c>
      <c r="E6" s="8">
        <v>0.0</v>
      </c>
      <c r="F6" s="7">
        <v>0.0</v>
      </c>
      <c r="G6" s="14" t="s">
        <v>564</v>
      </c>
      <c r="H6" s="9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7" t="s">
        <v>231</v>
      </c>
      <c r="B7" s="19">
        <f>IFERROR(VLOOKUP(A7, 'Current Decisions'!A:G, 7, FALSE), "")</f>
        <v>28.2</v>
      </c>
      <c r="C7" s="8">
        <v>1.0</v>
      </c>
      <c r="D7" s="72">
        <f t="shared" ref="D7:D8" si="2">C7</f>
        <v>1</v>
      </c>
      <c r="E7" s="8">
        <v>0.0</v>
      </c>
      <c r="F7" s="72">
        <f t="shared" ref="F7:F8" si="3">E7</f>
        <v>0</v>
      </c>
      <c r="G7" s="14" t="s">
        <v>564</v>
      </c>
      <c r="H7" s="17"/>
      <c r="I7" s="128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7" t="s">
        <v>246</v>
      </c>
      <c r="B8" s="19">
        <f>IFERROR(VLOOKUP(A8, 'Current Decisions'!A:G, 7, FALSE), "")</f>
        <v>27</v>
      </c>
      <c r="C8" s="8">
        <v>3.0</v>
      </c>
      <c r="D8" s="72">
        <f t="shared" si="2"/>
        <v>3</v>
      </c>
      <c r="E8" s="8">
        <v>3.0</v>
      </c>
      <c r="F8" s="72">
        <f t="shared" si="3"/>
        <v>3</v>
      </c>
      <c r="G8" s="14" t="s">
        <v>564</v>
      </c>
    </row>
    <row r="9">
      <c r="A9" s="7" t="s">
        <v>374</v>
      </c>
      <c r="B9" s="19">
        <f>IFERROR(VLOOKUP(A9, 'Current Decisions'!A:G, 7, FALSE), "")</f>
        <v>25.4</v>
      </c>
      <c r="C9" s="8">
        <v>1.0</v>
      </c>
      <c r="D9" s="7">
        <v>1.0</v>
      </c>
      <c r="E9" s="8">
        <v>1.0</v>
      </c>
      <c r="F9" s="7">
        <v>1.0</v>
      </c>
      <c r="G9" s="14" t="s">
        <v>564</v>
      </c>
    </row>
    <row r="10">
      <c r="A10" s="7" t="s">
        <v>259</v>
      </c>
      <c r="B10" s="19">
        <f>IFERROR(VLOOKUP(A10, 'Current Decisions'!A:G, 7, FALSE), "")</f>
        <v>20</v>
      </c>
      <c r="C10" s="8">
        <v>1.0</v>
      </c>
      <c r="D10" s="72">
        <f t="shared" ref="D10:D11" si="4">C10</f>
        <v>1</v>
      </c>
      <c r="E10" s="8">
        <v>0.0</v>
      </c>
      <c r="F10" s="72">
        <f t="shared" ref="F10:F11" si="5">E10</f>
        <v>0</v>
      </c>
      <c r="G10" s="14" t="s">
        <v>564</v>
      </c>
    </row>
    <row r="11">
      <c r="A11" s="7" t="s">
        <v>178</v>
      </c>
      <c r="B11" s="19">
        <f>IFERROR(VLOOKUP(A11, 'Current Decisions'!A:G, 7, FALSE), "")</f>
        <v>19.1</v>
      </c>
      <c r="C11" s="8">
        <v>2.0</v>
      </c>
      <c r="D11" s="72">
        <f t="shared" si="4"/>
        <v>2</v>
      </c>
      <c r="E11" s="8">
        <v>0.0</v>
      </c>
      <c r="F11" s="72">
        <f t="shared" si="5"/>
        <v>0</v>
      </c>
      <c r="G11" s="14" t="s">
        <v>564</v>
      </c>
    </row>
    <row r="12">
      <c r="A12" s="31" t="s">
        <v>472</v>
      </c>
      <c r="B12" s="72">
        <f>IFERROR(VLOOKUP(A12, 'Current Decisions'!A:G, 7, FALSE), "")</f>
        <v>24.7</v>
      </c>
      <c r="C12" s="8">
        <v>0.0</v>
      </c>
      <c r="D12" s="7">
        <v>0.0</v>
      </c>
      <c r="E12" s="8">
        <v>1.0</v>
      </c>
      <c r="F12" s="7">
        <v>1.0</v>
      </c>
      <c r="G12" s="14" t="s">
        <v>564</v>
      </c>
    </row>
    <row r="13">
      <c r="A13" s="7" t="s">
        <v>508</v>
      </c>
      <c r="B13" s="19">
        <f>IFERROR(VLOOKUP(A13, 'Current Decisions'!A:G, 7, FALSE), "")</f>
        <v>28.3</v>
      </c>
      <c r="C13" s="8">
        <v>1.0</v>
      </c>
      <c r="E13" s="8">
        <v>0.0</v>
      </c>
    </row>
    <row r="14">
      <c r="A14" s="7" t="s">
        <v>508</v>
      </c>
      <c r="B14" s="19">
        <f>IFERROR(VLOOKUP(A14, 'Current Decisions'!A:G, 7, FALSE), "")</f>
        <v>28.3</v>
      </c>
      <c r="C14" s="8">
        <v>1.0</v>
      </c>
      <c r="E14" s="8">
        <v>0.0</v>
      </c>
    </row>
    <row r="15">
      <c r="A15" s="7" t="s">
        <v>508</v>
      </c>
      <c r="B15" s="72">
        <f>IFERROR(VLOOKUP(A15, 'Current Decisions'!A:G, 7, FALSE), "")</f>
        <v>28.3</v>
      </c>
      <c r="C15" s="8">
        <v>1.0</v>
      </c>
      <c r="E15" s="8">
        <v>0.0</v>
      </c>
    </row>
    <row r="16">
      <c r="A16" s="7" t="s">
        <v>508</v>
      </c>
      <c r="B16" s="19">
        <f>IFERROR(VLOOKUP(A16, 'Current Decisions'!A:G, 7, FALSE), "")</f>
        <v>28.3</v>
      </c>
      <c r="C16" s="8">
        <v>1.0</v>
      </c>
      <c r="E16" s="8">
        <v>0.0</v>
      </c>
    </row>
    <row r="17">
      <c r="B17" s="19"/>
    </row>
    <row r="18">
      <c r="B18" s="19"/>
    </row>
    <row r="19">
      <c r="B19" s="19"/>
    </row>
    <row r="20">
      <c r="B20" s="19"/>
    </row>
    <row r="23">
      <c r="H23" s="29"/>
      <c r="I23" s="29"/>
    </row>
    <row r="25">
      <c r="B25" s="19"/>
    </row>
    <row r="26">
      <c r="B26" s="19"/>
    </row>
    <row r="28">
      <c r="B28" s="19"/>
    </row>
    <row r="29">
      <c r="B29" s="19"/>
    </row>
    <row r="30">
      <c r="B30" s="19"/>
    </row>
    <row r="32">
      <c r="B32" s="19"/>
    </row>
    <row r="33">
      <c r="B33" s="19"/>
    </row>
    <row r="34">
      <c r="B34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9">
      <c r="B49" s="19"/>
    </row>
    <row r="51">
      <c r="B51" s="19"/>
    </row>
    <row r="52">
      <c r="B52" s="19"/>
    </row>
    <row r="55">
      <c r="B55" s="19"/>
    </row>
    <row r="56">
      <c r="B56" s="19"/>
      <c r="J56" s="73"/>
    </row>
    <row r="57">
      <c r="B57" s="19"/>
    </row>
    <row r="58">
      <c r="A58" s="89"/>
    </row>
  </sheetData>
  <conditionalFormatting sqref="A2:G29">
    <cfRule type="expression" dxfId="5" priority="1">
      <formula>OR($G2="C",$G2="Confirmed in Symplicity")</formula>
    </cfRule>
  </conditionalFormatting>
  <conditionalFormatting sqref="A2:G29">
    <cfRule type="expression" dxfId="8" priority="2">
      <formula>OR($G2="W",$G2="W/R")</formula>
    </cfRule>
  </conditionalFormatting>
  <conditionalFormatting sqref="A2:G29">
    <cfRule type="expression" dxfId="6" priority="3">
      <formula>$G2="BTT"</formula>
    </cfRule>
  </conditionalFormatting>
  <conditionalFormatting sqref="A2:G29">
    <cfRule type="expression" dxfId="7" priority="4">
      <formula>$G2="R"</formula>
    </cfRule>
  </conditionalFormatting>
  <hyperlinks>
    <hyperlink r:id="rId1" ref="A1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7" t="s">
        <v>547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466</v>
      </c>
      <c r="B2" s="72">
        <f>IFERROR(VLOOKUP(A2, 'Current Decisions'!A:G, 7, FALSE), "")</f>
        <v>26</v>
      </c>
      <c r="C2" s="8">
        <v>1.0</v>
      </c>
      <c r="D2" s="7">
        <v>1.0</v>
      </c>
      <c r="E2" s="7">
        <v>1.0</v>
      </c>
      <c r="F2" s="7">
        <v>1.0</v>
      </c>
      <c r="G2" s="7" t="s">
        <v>582</v>
      </c>
      <c r="H2" s="7" t="s">
        <v>583</v>
      </c>
    </row>
    <row r="3">
      <c r="A3" s="7" t="s">
        <v>480</v>
      </c>
      <c r="B3" s="72">
        <f>IFERROR(VLOOKUP(A3, 'Current Decisions'!A:G, 7, FALSE), "")</f>
        <v>63</v>
      </c>
      <c r="C3" s="8">
        <v>1.0</v>
      </c>
      <c r="D3" s="7">
        <v>1.0</v>
      </c>
      <c r="E3" s="8">
        <v>1.0</v>
      </c>
      <c r="F3" s="7">
        <v>1.0</v>
      </c>
      <c r="G3" s="7" t="s">
        <v>564</v>
      </c>
    </row>
  </sheetData>
  <conditionalFormatting sqref="G2">
    <cfRule type="expression" dxfId="8" priority="1">
      <formula>OR($G2="W", $G2="W/R",ISBLANK($G2))</formula>
    </cfRule>
  </conditionalFormatting>
  <conditionalFormatting sqref="G2">
    <cfRule type="expression" dxfId="10" priority="2">
      <formula>$G2="B"</formula>
    </cfRule>
  </conditionalFormatting>
  <conditionalFormatting sqref="A2:G4">
    <cfRule type="expression" dxfId="5" priority="3">
      <formula>OR($G2="C",$G2="Confirmed in Symplicity")</formula>
    </cfRule>
  </conditionalFormatting>
  <conditionalFormatting sqref="A2:G4">
    <cfRule type="expression" dxfId="8" priority="4">
      <formula>OR($G2="W",$G2="W/R")</formula>
    </cfRule>
  </conditionalFormatting>
  <conditionalFormatting sqref="A2:G4">
    <cfRule type="expression" dxfId="6" priority="5">
      <formula>$G2="BTT"</formula>
    </cfRule>
  </conditionalFormatting>
  <conditionalFormatting sqref="A2:G4">
    <cfRule type="expression" dxfId="7" priority="6">
      <formula>$G2="R"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9.0"/>
    <col customWidth="1" min="3" max="4" width="11.13"/>
    <col customWidth="1" min="5" max="5" width="8.13"/>
    <col customWidth="1" min="7" max="7" width="27.75"/>
    <col customWidth="1" min="8" max="9" width="18.13"/>
  </cols>
  <sheetData>
    <row r="1">
      <c r="A1" s="7" t="s">
        <v>584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/>
    </row>
    <row r="2">
      <c r="A2" s="7" t="s">
        <v>184</v>
      </c>
      <c r="B2" s="72">
        <f>IFERROR(VLOOKUP(A2, 'Current Decisions'!A:G, 7, FALSE), "")</f>
        <v>42.6</v>
      </c>
      <c r="C2" s="8">
        <v>2.0</v>
      </c>
      <c r="D2" s="72">
        <f t="shared" ref="D2:D6" si="1">C2</f>
        <v>2</v>
      </c>
      <c r="E2" s="8">
        <v>0.0</v>
      </c>
      <c r="F2" s="72">
        <f t="shared" ref="F2:F6" si="2">E2</f>
        <v>0</v>
      </c>
      <c r="G2" s="14" t="s">
        <v>564</v>
      </c>
      <c r="I2" s="29"/>
    </row>
    <row r="3">
      <c r="A3" s="7" t="s">
        <v>188</v>
      </c>
      <c r="B3" s="72">
        <f>IFERROR(VLOOKUP(A3, 'Current Decisions'!A:G, 7, FALSE), "")</f>
        <v>40.5</v>
      </c>
      <c r="C3" s="8">
        <v>2.0</v>
      </c>
      <c r="D3" s="72">
        <f t="shared" si="1"/>
        <v>2</v>
      </c>
      <c r="E3" s="8">
        <v>2.0</v>
      </c>
      <c r="F3" s="72">
        <f t="shared" si="2"/>
        <v>2</v>
      </c>
      <c r="G3" s="14" t="s">
        <v>564</v>
      </c>
    </row>
    <row r="4">
      <c r="A4" s="7" t="s">
        <v>161</v>
      </c>
      <c r="B4" s="72">
        <f>IFERROR(VLOOKUP(A4, 'Current Decisions'!A:G, 7, FALSE), "")</f>
        <v>40.3</v>
      </c>
      <c r="C4" s="8">
        <v>1.0</v>
      </c>
      <c r="D4" s="72">
        <f t="shared" si="1"/>
        <v>1</v>
      </c>
      <c r="E4" s="8">
        <v>1.0</v>
      </c>
      <c r="F4" s="72">
        <f t="shared" si="2"/>
        <v>1</v>
      </c>
      <c r="G4" s="14" t="s">
        <v>564</v>
      </c>
    </row>
    <row r="5">
      <c r="A5" s="7" t="s">
        <v>208</v>
      </c>
      <c r="B5" s="72">
        <f>IFERROR(VLOOKUP(A5, 'Current Decisions'!A:G, 7, FALSE), "")</f>
        <v>39.2</v>
      </c>
      <c r="C5" s="8">
        <v>1.0</v>
      </c>
      <c r="D5" s="72">
        <f t="shared" si="1"/>
        <v>1</v>
      </c>
      <c r="E5" s="8">
        <v>0.0</v>
      </c>
      <c r="F5" s="72">
        <f t="shared" si="2"/>
        <v>0</v>
      </c>
      <c r="G5" s="14" t="s">
        <v>564</v>
      </c>
      <c r="H5" s="129"/>
      <c r="I5" s="130"/>
    </row>
    <row r="6">
      <c r="A6" s="7" t="s">
        <v>201</v>
      </c>
      <c r="B6" s="72">
        <f>IFERROR(VLOOKUP(A6, 'Current Decisions'!A:G, 7, FALSE), "")</f>
        <v>37.5</v>
      </c>
      <c r="C6" s="7">
        <v>1.0</v>
      </c>
      <c r="D6" s="72">
        <f t="shared" si="1"/>
        <v>1</v>
      </c>
      <c r="E6" s="7">
        <v>0.0</v>
      </c>
      <c r="F6" s="72">
        <f t="shared" si="2"/>
        <v>0</v>
      </c>
      <c r="G6" s="14" t="s">
        <v>564</v>
      </c>
      <c r="H6" s="131"/>
      <c r="I6" s="131"/>
    </row>
    <row r="7">
      <c r="A7" s="7" t="s">
        <v>342</v>
      </c>
      <c r="B7" s="7">
        <f>IFERROR(VLOOKUP(A7, 'Current Decisions'!A:G, 7, FALSE), "")</f>
        <v>37.2</v>
      </c>
      <c r="C7" s="7">
        <v>1.0</v>
      </c>
      <c r="D7" s="7">
        <v>1.0</v>
      </c>
      <c r="E7" s="7">
        <v>1.0</v>
      </c>
      <c r="F7" s="7">
        <v>0.0</v>
      </c>
      <c r="G7" s="7" t="s">
        <v>564</v>
      </c>
    </row>
    <row r="8">
      <c r="A8" s="7" t="s">
        <v>362</v>
      </c>
      <c r="B8" s="19">
        <f>IFERROR(VLOOKUP(A8, 'Current Decisions'!A:G, 7, FALSE), "")</f>
        <v>36.7</v>
      </c>
      <c r="C8" s="8">
        <v>1.0</v>
      </c>
      <c r="D8" s="7">
        <v>1.0</v>
      </c>
      <c r="E8" s="8">
        <v>1.0</v>
      </c>
      <c r="F8" s="7">
        <v>1.0</v>
      </c>
      <c r="G8" s="7" t="s">
        <v>564</v>
      </c>
    </row>
    <row r="9">
      <c r="A9" s="7" t="s">
        <v>353</v>
      </c>
      <c r="B9" s="8">
        <f>IFERROR(VLOOKUP(A9, 'Current Decisions'!A:G, 7, FALSE), "")</f>
        <v>35.4</v>
      </c>
      <c r="C9" s="8">
        <v>1.0</v>
      </c>
      <c r="D9" s="7">
        <v>1.0</v>
      </c>
      <c r="E9" s="8">
        <v>1.0</v>
      </c>
      <c r="F9" s="7">
        <v>1.0</v>
      </c>
      <c r="G9" s="7" t="s">
        <v>564</v>
      </c>
    </row>
    <row r="10">
      <c r="A10" s="7" t="s">
        <v>323</v>
      </c>
      <c r="B10" s="72">
        <f>IFERROR(VLOOKUP(A10, 'Current Decisions'!A:G, 7, FALSE), "")</f>
        <v>33.8</v>
      </c>
      <c r="C10" s="8">
        <v>4.0</v>
      </c>
      <c r="D10" s="7">
        <v>4.0</v>
      </c>
      <c r="E10" s="8">
        <v>4.0</v>
      </c>
      <c r="F10" s="7">
        <v>4.0</v>
      </c>
      <c r="G10" s="7" t="s">
        <v>564</v>
      </c>
    </row>
    <row r="11">
      <c r="A11" s="7" t="s">
        <v>250</v>
      </c>
      <c r="B11" s="72">
        <f>IFERROR(VLOOKUP(A11, 'Current Decisions'!A:G, 7, FALSE), "")</f>
        <v>33.2</v>
      </c>
      <c r="C11" s="8">
        <v>2.0</v>
      </c>
      <c r="D11" s="72">
        <f>C11</f>
        <v>2</v>
      </c>
      <c r="E11" s="8">
        <v>0.0</v>
      </c>
      <c r="F11" s="72">
        <f>E11</f>
        <v>0</v>
      </c>
      <c r="G11" s="14" t="s">
        <v>564</v>
      </c>
      <c r="H11" s="12"/>
      <c r="I11" s="12"/>
    </row>
    <row r="12">
      <c r="A12" s="7" t="s">
        <v>332</v>
      </c>
      <c r="B12" s="72">
        <f>IFERROR(VLOOKUP(A12, 'Current Decisions'!A:G, 7, FALSE), "")</f>
        <v>32.5</v>
      </c>
      <c r="C12" s="8">
        <v>2.0</v>
      </c>
      <c r="D12" s="7">
        <v>2.0</v>
      </c>
      <c r="E12" s="8">
        <v>2.0</v>
      </c>
      <c r="F12" s="7">
        <v>2.0</v>
      </c>
      <c r="G12" s="7" t="s">
        <v>564</v>
      </c>
    </row>
    <row r="13">
      <c r="A13" s="7" t="s">
        <v>284</v>
      </c>
      <c r="B13" s="72">
        <f>IFERROR(VLOOKUP(A13, 'Current Decisions'!A:G, 7, FALSE), "")</f>
        <v>30.5</v>
      </c>
      <c r="C13" s="8">
        <v>1.0</v>
      </c>
      <c r="D13" s="7">
        <v>1.0</v>
      </c>
      <c r="E13" s="8">
        <v>0.0</v>
      </c>
      <c r="F13" s="7">
        <v>0.0</v>
      </c>
      <c r="G13" s="7" t="s">
        <v>564</v>
      </c>
      <c r="I13" s="12"/>
    </row>
    <row r="14">
      <c r="A14" s="7" t="s">
        <v>339</v>
      </c>
      <c r="B14" s="72">
        <f>IFERROR(VLOOKUP(A14, 'Current Decisions'!A:G, 7, FALSE), "")</f>
        <v>30.1</v>
      </c>
      <c r="C14" s="7">
        <v>2.0</v>
      </c>
      <c r="D14" s="7">
        <v>2.0</v>
      </c>
      <c r="E14" s="7">
        <v>0.0</v>
      </c>
      <c r="F14" s="29">
        <v>0.0</v>
      </c>
      <c r="G14" s="7" t="s">
        <v>564</v>
      </c>
    </row>
    <row r="15">
      <c r="A15" s="7" t="s">
        <v>237</v>
      </c>
      <c r="B15" s="72">
        <f>IFERROR(VLOOKUP(A15, 'Current Decisions'!A:G, 7, FALSE), "")</f>
        <v>29.7</v>
      </c>
      <c r="C15" s="8">
        <v>1.0</v>
      </c>
      <c r="D15" s="72">
        <f>C15</f>
        <v>1</v>
      </c>
      <c r="E15" s="8">
        <v>1.0</v>
      </c>
      <c r="F15" s="72">
        <f>E15</f>
        <v>1</v>
      </c>
      <c r="G15" s="14" t="s">
        <v>564</v>
      </c>
      <c r="H15" s="132"/>
    </row>
    <row r="16">
      <c r="A16" s="7" t="s">
        <v>292</v>
      </c>
      <c r="B16" s="72">
        <f>IFERROR(VLOOKUP(A16, 'Current Decisions'!A:G, 7, FALSE), "")</f>
        <v>28.6</v>
      </c>
      <c r="C16" s="8">
        <v>2.0</v>
      </c>
      <c r="D16" s="7">
        <v>2.0</v>
      </c>
      <c r="E16" s="8">
        <v>0.0</v>
      </c>
      <c r="F16" s="7">
        <v>0.0</v>
      </c>
      <c r="G16" s="7" t="s">
        <v>564</v>
      </c>
      <c r="H16" s="133"/>
    </row>
    <row r="17">
      <c r="A17" s="96" t="s">
        <v>115</v>
      </c>
      <c r="B17" s="72">
        <f>IFERROR(VLOOKUP(A17, 'Current Decisions'!A:G, 7, FALSE), "")</f>
        <v>28.2</v>
      </c>
      <c r="C17" s="8">
        <v>2.0</v>
      </c>
      <c r="D17" s="72">
        <f>C17</f>
        <v>2</v>
      </c>
      <c r="E17" s="8">
        <v>2.0</v>
      </c>
      <c r="F17" s="72">
        <f>E17</f>
        <v>2</v>
      </c>
      <c r="G17" s="14" t="s">
        <v>564</v>
      </c>
    </row>
    <row r="18">
      <c r="A18" s="100" t="s">
        <v>321</v>
      </c>
      <c r="B18" s="27">
        <f>IFERROR(VLOOKUP(A18, 'Current Decisions'!A:G, 7, FALSE), "")</f>
        <v>28.1</v>
      </c>
      <c r="C18" s="100">
        <v>1.0</v>
      </c>
      <c r="D18" s="100">
        <v>1.0</v>
      </c>
      <c r="E18" s="100">
        <v>0.0</v>
      </c>
      <c r="F18" s="100">
        <v>0.0</v>
      </c>
      <c r="G18" s="100" t="s">
        <v>564</v>
      </c>
      <c r="H18" s="29"/>
      <c r="I18" s="29"/>
    </row>
    <row r="19">
      <c r="A19" s="7" t="s">
        <v>364</v>
      </c>
      <c r="B19" s="72">
        <f>IFERROR(VLOOKUP(A19, 'Current Decisions'!A:G, 7, FALSE), "")</f>
        <v>27.8</v>
      </c>
      <c r="C19" s="8">
        <v>0.0</v>
      </c>
      <c r="D19" s="7">
        <v>0.0</v>
      </c>
      <c r="E19" s="8">
        <v>1.0</v>
      </c>
      <c r="F19" s="7">
        <v>1.0</v>
      </c>
      <c r="G19" s="7" t="s">
        <v>564</v>
      </c>
    </row>
    <row r="20">
      <c r="A20" s="7" t="s">
        <v>397</v>
      </c>
      <c r="B20" s="72">
        <f>IFERROR(VLOOKUP(A20, 'Current Decisions'!A:G, 7, FALSE), "")</f>
        <v>26.8</v>
      </c>
      <c r="C20" s="8">
        <v>1.0</v>
      </c>
      <c r="D20" s="7">
        <v>1.0</v>
      </c>
      <c r="E20" s="8">
        <v>0.0</v>
      </c>
      <c r="F20" s="7">
        <v>0.0</v>
      </c>
      <c r="G20" s="7" t="s">
        <v>564</v>
      </c>
    </row>
    <row r="21">
      <c r="A21" s="7" t="s">
        <v>224</v>
      </c>
      <c r="B21" s="72">
        <f>IFERROR(VLOOKUP(A21, 'Current Decisions'!A:G, 7, FALSE), "")</f>
        <v>26</v>
      </c>
      <c r="C21" s="8">
        <v>1.0</v>
      </c>
      <c r="D21" s="72">
        <f>C21</f>
        <v>1</v>
      </c>
      <c r="E21" s="8">
        <v>0.0</v>
      </c>
      <c r="F21" s="72">
        <f>E21</f>
        <v>0</v>
      </c>
      <c r="G21" s="14" t="s">
        <v>564</v>
      </c>
    </row>
    <row r="22">
      <c r="A22" s="7" t="s">
        <v>383</v>
      </c>
      <c r="B22" s="72">
        <f>IFERROR(VLOOKUP(A22, 'Current Decisions'!A:G, 7, FALSE), "")</f>
        <v>26</v>
      </c>
      <c r="C22" s="7">
        <v>0.0</v>
      </c>
      <c r="D22" s="7">
        <v>0.0</v>
      </c>
      <c r="E22" s="7">
        <v>1.0</v>
      </c>
      <c r="F22" s="7">
        <v>1.0</v>
      </c>
      <c r="G22" s="7" t="s">
        <v>564</v>
      </c>
    </row>
    <row r="23">
      <c r="A23" s="7" t="s">
        <v>255</v>
      </c>
      <c r="B23" s="72">
        <f>IFERROR(VLOOKUP(A23, 'Current Decisions'!A:G, 7, FALSE), "")</f>
        <v>24.7</v>
      </c>
      <c r="C23" s="8">
        <v>1.0</v>
      </c>
      <c r="D23" s="72">
        <f>C23</f>
        <v>1</v>
      </c>
      <c r="E23" s="8">
        <v>0.0</v>
      </c>
      <c r="F23" s="72">
        <f>E23</f>
        <v>0</v>
      </c>
      <c r="G23" s="14" t="s">
        <v>564</v>
      </c>
    </row>
    <row r="24">
      <c r="A24" s="7" t="s">
        <v>330</v>
      </c>
      <c r="B24" s="72">
        <f>IFERROR(VLOOKUP(A24, 'Current Decisions'!A:G, 7, FALSE), "")</f>
        <v>24.1</v>
      </c>
      <c r="C24" s="8">
        <v>0.0</v>
      </c>
      <c r="D24" s="7">
        <v>0.0</v>
      </c>
      <c r="E24" s="8">
        <v>1.0</v>
      </c>
      <c r="F24" s="7">
        <v>1.0</v>
      </c>
      <c r="G24" s="7" t="s">
        <v>564</v>
      </c>
    </row>
    <row r="25">
      <c r="A25" s="7" t="s">
        <v>336</v>
      </c>
      <c r="B25" s="72">
        <f>IFERROR(VLOOKUP(A25, 'Current Decisions'!A:G, 7, FALSE), "")</f>
        <v>22.3</v>
      </c>
      <c r="C25" s="8">
        <v>4.0</v>
      </c>
      <c r="D25" s="7">
        <v>4.0</v>
      </c>
      <c r="E25" s="8">
        <v>0.0</v>
      </c>
      <c r="F25" s="7">
        <v>0.0</v>
      </c>
      <c r="G25" s="7" t="s">
        <v>564</v>
      </c>
    </row>
    <row r="26">
      <c r="A26" s="7" t="s">
        <v>209</v>
      </c>
      <c r="B26" s="72">
        <f>IFERROR(VLOOKUP(A26, 'Current Decisions'!A:G, 7, FALSE), "")</f>
        <v>21.7</v>
      </c>
      <c r="C26" s="8">
        <v>1.0</v>
      </c>
      <c r="D26" s="72">
        <f>C26</f>
        <v>1</v>
      </c>
      <c r="E26" s="8">
        <v>0.0</v>
      </c>
      <c r="F26" s="72">
        <f>E26</f>
        <v>0</v>
      </c>
      <c r="G26" s="14" t="s">
        <v>564</v>
      </c>
    </row>
    <row r="27">
      <c r="A27" s="7" t="s">
        <v>328</v>
      </c>
      <c r="B27" s="72">
        <f>IFERROR(VLOOKUP(A27, 'Current Decisions'!A:G, 7, FALSE), "")</f>
        <v>21</v>
      </c>
      <c r="C27" s="8">
        <v>1.0</v>
      </c>
      <c r="D27" s="29">
        <v>1.0</v>
      </c>
      <c r="E27" s="8">
        <v>0.0</v>
      </c>
      <c r="F27" s="29">
        <v>0.0</v>
      </c>
      <c r="G27" s="7" t="s">
        <v>564</v>
      </c>
    </row>
    <row r="28">
      <c r="A28" s="7" t="s">
        <v>346</v>
      </c>
      <c r="B28" s="72">
        <f>IFERROR(VLOOKUP(A28, 'Current Decisions'!A:G, 7, FALSE), "")</f>
        <v>20.6</v>
      </c>
      <c r="C28" s="8">
        <v>0.0</v>
      </c>
      <c r="D28" s="7">
        <v>0.0</v>
      </c>
      <c r="E28" s="8">
        <v>1.0</v>
      </c>
      <c r="F28" s="7">
        <v>1.0</v>
      </c>
      <c r="G28" s="134" t="s">
        <v>564</v>
      </c>
    </row>
    <row r="29">
      <c r="A29" s="7" t="s">
        <v>114</v>
      </c>
      <c r="B29" s="72">
        <f>IFERROR(VLOOKUP(A29, 'Current Decisions'!A:G, 7, FALSE), "")</f>
        <v>20</v>
      </c>
      <c r="C29" s="8">
        <v>1.0</v>
      </c>
      <c r="D29" s="72">
        <f>C29</f>
        <v>1</v>
      </c>
      <c r="E29" s="8">
        <v>0.0</v>
      </c>
      <c r="F29" s="72">
        <f>E29</f>
        <v>0</v>
      </c>
      <c r="G29" s="14" t="s">
        <v>564</v>
      </c>
    </row>
    <row r="30">
      <c r="A30" s="7" t="s">
        <v>167</v>
      </c>
      <c r="B30" s="72">
        <f>IFERROR(VLOOKUP(A30, 'Current Decisions'!A:G, 7, FALSE), "")</f>
        <v>20</v>
      </c>
      <c r="C30" s="8">
        <v>0.0</v>
      </c>
      <c r="D30" s="7">
        <v>0.0</v>
      </c>
      <c r="E30" s="8">
        <v>1.0</v>
      </c>
      <c r="F30" s="7">
        <v>1.0</v>
      </c>
      <c r="G30" s="14" t="s">
        <v>564</v>
      </c>
      <c r="I30" s="131"/>
    </row>
    <row r="31">
      <c r="A31" s="7" t="s">
        <v>194</v>
      </c>
      <c r="B31" s="72">
        <f>IFERROR(VLOOKUP(A31, 'Current Decisions'!A:G, 7, FALSE), "")</f>
        <v>20</v>
      </c>
      <c r="C31" s="8">
        <v>1.0</v>
      </c>
      <c r="D31" s="72">
        <f t="shared" ref="D31:D33" si="3">C31</f>
        <v>1</v>
      </c>
      <c r="E31" s="8">
        <v>0.0</v>
      </c>
      <c r="F31" s="72">
        <f t="shared" ref="F31:F33" si="4">E31</f>
        <v>0</v>
      </c>
      <c r="G31" s="7" t="s">
        <v>564</v>
      </c>
    </row>
    <row r="32">
      <c r="A32" s="7" t="s">
        <v>268</v>
      </c>
      <c r="B32" s="72">
        <f>IFERROR(VLOOKUP(A32, 'Current Decisions'!A:G, 7, FALSE), "")</f>
        <v>20</v>
      </c>
      <c r="C32" s="8">
        <v>1.0</v>
      </c>
      <c r="D32" s="72">
        <f t="shared" si="3"/>
        <v>1</v>
      </c>
      <c r="E32" s="8">
        <v>0.0</v>
      </c>
      <c r="F32" s="72">
        <f t="shared" si="4"/>
        <v>0</v>
      </c>
      <c r="G32" s="7" t="s">
        <v>564</v>
      </c>
    </row>
    <row r="33">
      <c r="A33" s="7" t="s">
        <v>28</v>
      </c>
      <c r="B33" s="72">
        <f>IFERROR(VLOOKUP(A33, 'Current Decisions'!A:G, 7, FALSE), "")</f>
        <v>19.6</v>
      </c>
      <c r="C33" s="8">
        <v>2.0</v>
      </c>
      <c r="D33" s="72">
        <f t="shared" si="3"/>
        <v>2</v>
      </c>
      <c r="E33" s="8">
        <v>2.0</v>
      </c>
      <c r="F33" s="72">
        <f t="shared" si="4"/>
        <v>2</v>
      </c>
      <c r="G33" s="7" t="s">
        <v>564</v>
      </c>
    </row>
    <row r="34">
      <c r="A34" s="7" t="s">
        <v>350</v>
      </c>
      <c r="B34" s="72">
        <f>IFERROR(VLOOKUP(A34, 'Current Decisions'!A:G, 7, FALSE), "")</f>
        <v>19.5</v>
      </c>
      <c r="C34" s="8">
        <v>1.0</v>
      </c>
      <c r="D34" s="7">
        <v>1.0</v>
      </c>
      <c r="E34" s="8">
        <v>1.0</v>
      </c>
      <c r="F34" s="7">
        <v>1.0</v>
      </c>
      <c r="G34" s="7" t="s">
        <v>564</v>
      </c>
    </row>
    <row r="35">
      <c r="A35" s="7" t="s">
        <v>288</v>
      </c>
      <c r="B35" s="72">
        <f>IFERROR(VLOOKUP(A35, 'Current Decisions'!A:G, 7, FALSE), "")</f>
        <v>18.5</v>
      </c>
      <c r="C35" s="8">
        <v>1.0</v>
      </c>
      <c r="D35" s="7">
        <v>1.0</v>
      </c>
      <c r="E35" s="8">
        <v>0.0</v>
      </c>
      <c r="F35" s="7">
        <v>0.0</v>
      </c>
      <c r="G35" s="7" t="s">
        <v>564</v>
      </c>
    </row>
    <row r="36">
      <c r="A36" s="7" t="s">
        <v>360</v>
      </c>
      <c r="B36" s="72">
        <f>IFERROR(VLOOKUP(A36, 'Current Decisions'!A:G, 7, FALSE), "")</f>
        <v>18</v>
      </c>
      <c r="C36" s="7">
        <v>0.0</v>
      </c>
      <c r="D36" s="7">
        <v>0.0</v>
      </c>
      <c r="E36" s="7">
        <v>1.0</v>
      </c>
      <c r="F36" s="7">
        <v>1.0</v>
      </c>
      <c r="G36" s="7" t="s">
        <v>564</v>
      </c>
    </row>
    <row r="37">
      <c r="A37" s="7" t="s">
        <v>156</v>
      </c>
      <c r="B37" s="19">
        <f>IFERROR(VLOOKUP(A37, 'Current Decisions'!A:G, 7, FALSE), "")</f>
        <v>17.2</v>
      </c>
      <c r="C37" s="8">
        <v>0.0</v>
      </c>
      <c r="D37" s="72">
        <f>C37</f>
        <v>0</v>
      </c>
      <c r="E37" s="8">
        <v>1.0</v>
      </c>
      <c r="F37" s="72">
        <f>E37</f>
        <v>1</v>
      </c>
      <c r="G37" s="7" t="s">
        <v>564</v>
      </c>
      <c r="H37" s="131"/>
    </row>
    <row r="38">
      <c r="A38" s="7" t="s">
        <v>359</v>
      </c>
      <c r="B38" s="72">
        <f>IFERROR(VLOOKUP(A38, 'Current Decisions'!A:G, 7, FALSE), "")</f>
        <v>17</v>
      </c>
      <c r="C38" s="8">
        <v>2.0</v>
      </c>
      <c r="D38" s="7">
        <v>2.0</v>
      </c>
      <c r="E38" s="8">
        <v>0.0</v>
      </c>
      <c r="F38" s="7">
        <v>0.0</v>
      </c>
      <c r="G38" s="7" t="s">
        <v>564</v>
      </c>
    </row>
    <row r="39">
      <c r="A39" s="7" t="s">
        <v>64</v>
      </c>
      <c r="B39" s="72">
        <f>IFERROR(VLOOKUP(A39, 'Current Decisions'!A:G, 7, FALSE), "")</f>
        <v>16.2</v>
      </c>
      <c r="C39" s="8">
        <v>1.0</v>
      </c>
      <c r="D39" s="72">
        <f>C39</f>
        <v>1</v>
      </c>
      <c r="E39" s="8">
        <v>1.0</v>
      </c>
      <c r="F39" s="72">
        <f>E39</f>
        <v>1</v>
      </c>
      <c r="G39" s="7" t="s">
        <v>564</v>
      </c>
    </row>
    <row r="40">
      <c r="A40" s="7" t="s">
        <v>327</v>
      </c>
      <c r="B40" s="72">
        <f>IFERROR(VLOOKUP(A40, 'Current Decisions'!A:G, 7, FALSE), "")</f>
        <v>15.5</v>
      </c>
      <c r="C40" s="8">
        <v>1.0</v>
      </c>
      <c r="D40" s="7">
        <v>1.0</v>
      </c>
      <c r="E40" s="8">
        <v>0.0</v>
      </c>
      <c r="F40" s="7">
        <v>0.0</v>
      </c>
      <c r="G40" s="7" t="s">
        <v>564</v>
      </c>
      <c r="H40" s="7" t="s">
        <v>585</v>
      </c>
    </row>
    <row r="41">
      <c r="A41" s="7" t="s">
        <v>141</v>
      </c>
      <c r="B41" s="72">
        <f>IFERROR(VLOOKUP(A41, 'Current Decisions'!A:G, 7, FALSE), "")</f>
        <v>15</v>
      </c>
      <c r="C41" s="8">
        <v>1.0</v>
      </c>
      <c r="D41" s="72">
        <f>C41</f>
        <v>1</v>
      </c>
      <c r="E41" s="8">
        <v>0.0</v>
      </c>
      <c r="F41" s="72">
        <f>E41</f>
        <v>0</v>
      </c>
      <c r="G41" s="7" t="s">
        <v>564</v>
      </c>
    </row>
    <row r="42">
      <c r="A42" s="7" t="s">
        <v>315</v>
      </c>
      <c r="B42" s="72">
        <f>IFERROR(VLOOKUP(A42, 'Current Decisions'!A:G, 7, FALSE), "")</f>
        <v>14</v>
      </c>
      <c r="C42" s="8">
        <v>1.0</v>
      </c>
      <c r="D42" s="7">
        <v>1.0</v>
      </c>
      <c r="E42" s="8">
        <v>0.0</v>
      </c>
      <c r="F42" s="7">
        <v>0.0</v>
      </c>
      <c r="G42" s="7" t="s">
        <v>564</v>
      </c>
    </row>
    <row r="43">
      <c r="A43" s="7" t="s">
        <v>215</v>
      </c>
      <c r="B43" s="72">
        <f>IFERROR(VLOOKUP(A43, 'Current Decisions'!A:G, 7, FALSE), "")</f>
        <v>13.2</v>
      </c>
      <c r="C43" s="8">
        <v>1.0</v>
      </c>
      <c r="D43" s="72">
        <f>C43</f>
        <v>1</v>
      </c>
      <c r="E43" s="8">
        <v>0.0</v>
      </c>
      <c r="F43" s="72">
        <f>E43</f>
        <v>0</v>
      </c>
      <c r="G43" s="7" t="s">
        <v>564</v>
      </c>
    </row>
    <row r="44">
      <c r="A44" s="7" t="s">
        <v>310</v>
      </c>
      <c r="B44" s="72">
        <f>IFERROR(VLOOKUP(A44, 'Current Decisions'!A:G, 7, FALSE), "")</f>
        <v>12.5</v>
      </c>
      <c r="C44" s="8">
        <v>1.0</v>
      </c>
      <c r="D44" s="7">
        <v>1.0</v>
      </c>
      <c r="E44" s="8">
        <v>0.0</v>
      </c>
      <c r="F44" s="7">
        <v>0.0</v>
      </c>
      <c r="G44" s="7" t="s">
        <v>564</v>
      </c>
    </row>
    <row r="45">
      <c r="A45" s="7" t="s">
        <v>331</v>
      </c>
      <c r="B45" s="72">
        <f>IFERROR(VLOOKUP(A45, 'Current Decisions'!A:G, 7, FALSE), "")</f>
        <v>11.8</v>
      </c>
      <c r="C45" s="8">
        <v>1.0</v>
      </c>
      <c r="D45" s="7">
        <v>1.0</v>
      </c>
      <c r="E45" s="8">
        <v>0.0</v>
      </c>
      <c r="F45" s="7">
        <v>0.0</v>
      </c>
      <c r="G45" s="7" t="s">
        <v>564</v>
      </c>
      <c r="H45" s="135"/>
    </row>
    <row r="46">
      <c r="A46" s="7" t="s">
        <v>50</v>
      </c>
      <c r="B46" s="72">
        <f>IFERROR(VLOOKUP(A46, 'Current Decisions'!A:G, 7, FALSE), "")</f>
        <v>11.7</v>
      </c>
      <c r="C46" s="8">
        <v>1.0</v>
      </c>
      <c r="D46" s="72">
        <f t="shared" ref="D46:D49" si="5">C46</f>
        <v>1</v>
      </c>
      <c r="E46" s="8">
        <v>1.0</v>
      </c>
      <c r="F46" s="72">
        <f t="shared" ref="F46:F49" si="6">E46</f>
        <v>1</v>
      </c>
      <c r="G46" s="7" t="s">
        <v>564</v>
      </c>
    </row>
    <row r="47">
      <c r="A47" s="7" t="s">
        <v>172</v>
      </c>
      <c r="B47" s="72">
        <f>IFERROR(VLOOKUP(A47, 'Current Decisions'!A:G, 7, FALSE), "")</f>
        <v>11.7</v>
      </c>
      <c r="C47" s="8">
        <v>2.0</v>
      </c>
      <c r="D47" s="72">
        <f t="shared" si="5"/>
        <v>2</v>
      </c>
      <c r="E47" s="8">
        <v>2.0</v>
      </c>
      <c r="F47" s="72">
        <f t="shared" si="6"/>
        <v>2</v>
      </c>
      <c r="G47" s="7" t="s">
        <v>564</v>
      </c>
    </row>
    <row r="48">
      <c r="A48" s="7" t="s">
        <v>73</v>
      </c>
      <c r="B48" s="72">
        <f>IFERROR(VLOOKUP(A48, 'Current Decisions'!A:G, 7, FALSE), "")</f>
        <v>11</v>
      </c>
      <c r="C48" s="8">
        <v>2.0</v>
      </c>
      <c r="D48" s="72">
        <f t="shared" si="5"/>
        <v>2</v>
      </c>
      <c r="E48" s="8">
        <v>2.0</v>
      </c>
      <c r="F48" s="72">
        <f t="shared" si="6"/>
        <v>2</v>
      </c>
      <c r="G48" s="7" t="s">
        <v>564</v>
      </c>
    </row>
    <row r="49">
      <c r="A49" s="7" t="s">
        <v>232</v>
      </c>
      <c r="B49" s="72">
        <f>IFERROR(VLOOKUP(A49, 'Current Decisions'!A:G, 7, FALSE), "")</f>
        <v>11</v>
      </c>
      <c r="C49" s="8">
        <v>1.0</v>
      </c>
      <c r="D49" s="72">
        <f t="shared" si="5"/>
        <v>1</v>
      </c>
      <c r="E49" s="8">
        <v>0.0</v>
      </c>
      <c r="F49" s="72">
        <f t="shared" si="6"/>
        <v>0</v>
      </c>
      <c r="G49" s="7" t="s">
        <v>564</v>
      </c>
    </row>
    <row r="50">
      <c r="A50" s="7" t="s">
        <v>277</v>
      </c>
      <c r="B50" s="72">
        <f>IFERROR(VLOOKUP(A50, 'Current Decisions'!A:G, 7, FALSE), "")</f>
        <v>11</v>
      </c>
      <c r="C50" s="8">
        <v>1.0</v>
      </c>
      <c r="D50" s="7">
        <v>1.0</v>
      </c>
      <c r="E50" s="8">
        <v>0.0</v>
      </c>
      <c r="F50" s="7">
        <v>0.0</v>
      </c>
      <c r="G50" s="7" t="s">
        <v>564</v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>
      <c r="A51" s="7" t="s">
        <v>143</v>
      </c>
      <c r="B51" s="72">
        <f>IFERROR(VLOOKUP(A51, 'Current Decisions'!A:G, 7, FALSE), "")</f>
        <v>10.3</v>
      </c>
      <c r="C51" s="8">
        <v>1.0</v>
      </c>
      <c r="D51" s="7">
        <v>0.0</v>
      </c>
      <c r="E51" s="8">
        <v>0.0</v>
      </c>
      <c r="F51" s="7">
        <v>1.0</v>
      </c>
      <c r="G51" s="7" t="s">
        <v>564</v>
      </c>
    </row>
    <row r="52">
      <c r="A52" s="7" t="s">
        <v>102</v>
      </c>
      <c r="B52" s="72">
        <f>IFERROR(VLOOKUP(A52, 'Current Decisions'!A:G, 7, FALSE), "")</f>
        <v>7.2</v>
      </c>
      <c r="C52" s="7">
        <v>0.0</v>
      </c>
      <c r="D52" s="7">
        <v>0.0</v>
      </c>
      <c r="E52" s="7">
        <v>1.0</v>
      </c>
      <c r="F52" s="7">
        <v>1.0</v>
      </c>
      <c r="G52" s="7" t="s">
        <v>564</v>
      </c>
      <c r="H52" s="7" t="s">
        <v>586</v>
      </c>
    </row>
    <row r="53">
      <c r="A53" s="7" t="s">
        <v>170</v>
      </c>
      <c r="B53" s="72">
        <f>IFERROR(VLOOKUP(A53, 'Current Decisions'!A:G, 7, FALSE), "")</f>
        <v>5</v>
      </c>
      <c r="C53" s="8">
        <v>0.0</v>
      </c>
      <c r="D53" s="7">
        <v>0.0</v>
      </c>
      <c r="E53" s="8">
        <v>1.0</v>
      </c>
      <c r="F53" s="7">
        <v>1.0</v>
      </c>
      <c r="G53" s="7" t="s">
        <v>564</v>
      </c>
    </row>
    <row r="54">
      <c r="A54" s="99" t="s">
        <v>210</v>
      </c>
      <c r="B54" s="136">
        <f>IFERROR(VLOOKUP(A54, 'Current Decisions'!A:G, 7, FALSE), "")</f>
        <v>5</v>
      </c>
      <c r="C54" s="99">
        <v>0.0</v>
      </c>
      <c r="D54" s="99">
        <v>0.0</v>
      </c>
      <c r="E54" s="99">
        <v>1.0</v>
      </c>
      <c r="F54" s="99">
        <v>1.0</v>
      </c>
      <c r="G54" s="99" t="s">
        <v>587</v>
      </c>
    </row>
    <row r="55">
      <c r="A55" s="7" t="s">
        <v>418</v>
      </c>
      <c r="B55" s="72">
        <f>IFERROR(VLOOKUP(A55, 'Current Decisions'!A:G, 7, FALSE), "")</f>
        <v>69.7</v>
      </c>
      <c r="C55" s="8">
        <v>1.0</v>
      </c>
      <c r="D55" s="7">
        <v>1.0</v>
      </c>
      <c r="E55" s="8">
        <v>1.0</v>
      </c>
      <c r="F55" s="7">
        <v>1.0</v>
      </c>
      <c r="G55" s="7" t="s">
        <v>564</v>
      </c>
    </row>
    <row r="56">
      <c r="A56" s="7" t="s">
        <v>428</v>
      </c>
      <c r="B56" s="72">
        <f>IFERROR(VLOOKUP(A56, 'Current Decisions'!A:G, 7, FALSE), "")</f>
        <v>39</v>
      </c>
      <c r="C56" s="7">
        <v>0.0</v>
      </c>
      <c r="D56" s="7">
        <v>0.0</v>
      </c>
      <c r="E56" s="7">
        <v>1.0</v>
      </c>
      <c r="F56" s="7">
        <v>1.0</v>
      </c>
      <c r="G56" s="7" t="s">
        <v>573</v>
      </c>
    </row>
    <row r="57">
      <c r="A57" s="7" t="s">
        <v>434</v>
      </c>
      <c r="B57" s="8">
        <f>IFERROR(VLOOKUP(A57, 'Current Decisions'!A:G, 7, FALSE), "")</f>
        <v>33.5</v>
      </c>
      <c r="C57" s="8">
        <v>1.0</v>
      </c>
      <c r="D57" s="7">
        <v>1.0</v>
      </c>
      <c r="E57" s="8">
        <v>1.0</v>
      </c>
      <c r="F57" s="7">
        <v>1.0</v>
      </c>
      <c r="G57" s="7" t="s">
        <v>564</v>
      </c>
    </row>
    <row r="58">
      <c r="A58" s="7" t="s">
        <v>450</v>
      </c>
      <c r="B58" s="72">
        <f>IFERROR(VLOOKUP(A58, 'Current Decisions'!A:G, 7, FALSE), "")</f>
        <v>10.3</v>
      </c>
      <c r="C58" s="8">
        <v>1.0</v>
      </c>
      <c r="D58" s="7">
        <v>0.0</v>
      </c>
      <c r="E58" s="8">
        <v>1.0</v>
      </c>
      <c r="F58" s="7">
        <v>1.0</v>
      </c>
      <c r="G58" s="7" t="s">
        <v>573</v>
      </c>
    </row>
    <row r="59">
      <c r="A59" s="7" t="s">
        <v>463</v>
      </c>
      <c r="B59" s="72">
        <f>IFERROR(VLOOKUP(A59, 'Current Decisions'!A:G, 7, FALSE), "")</f>
        <v>21.7</v>
      </c>
      <c r="C59" s="7">
        <v>0.0</v>
      </c>
      <c r="D59" s="7">
        <v>0.0</v>
      </c>
      <c r="E59" s="7">
        <v>1.0</v>
      </c>
      <c r="F59" s="7">
        <v>1.0</v>
      </c>
      <c r="G59" s="7" t="s">
        <v>573</v>
      </c>
    </row>
    <row r="60">
      <c r="A60" s="7" t="s">
        <v>469</v>
      </c>
      <c r="B60" s="72">
        <f>IFERROR(VLOOKUP(A60, 'Current Decisions'!A:G, 7, FALSE), "")</f>
        <v>15.3</v>
      </c>
      <c r="C60" s="8">
        <v>0.0</v>
      </c>
      <c r="D60" s="7">
        <v>0.0</v>
      </c>
      <c r="E60" s="8">
        <v>1.0</v>
      </c>
      <c r="F60" s="7">
        <v>1.0</v>
      </c>
      <c r="G60" s="7" t="s">
        <v>564</v>
      </c>
    </row>
    <row r="61">
      <c r="A61" s="7" t="s">
        <v>471</v>
      </c>
      <c r="B61" s="72">
        <f>IFERROR(VLOOKUP(A61, 'Current Decisions'!A:G, 7, FALSE), "")</f>
        <v>28.5</v>
      </c>
      <c r="C61" s="8">
        <v>0.0</v>
      </c>
      <c r="D61" s="7">
        <v>0.0</v>
      </c>
      <c r="E61" s="8">
        <v>1.0</v>
      </c>
      <c r="F61" s="7">
        <v>1.0</v>
      </c>
      <c r="G61" s="7" t="s">
        <v>564</v>
      </c>
    </row>
    <row r="62">
      <c r="A62" s="29" t="s">
        <v>475</v>
      </c>
      <c r="B62" s="25">
        <f>IFERROR(VLOOKUP(A62, 'Current Decisions'!A:G, 7, FALSE), "")</f>
        <v>4.7</v>
      </c>
      <c r="C62" s="29">
        <v>0.0</v>
      </c>
      <c r="D62" s="29">
        <v>0.0</v>
      </c>
      <c r="E62" s="29">
        <v>1.0</v>
      </c>
      <c r="F62" s="29">
        <v>1.0</v>
      </c>
      <c r="G62" s="29" t="s">
        <v>573</v>
      </c>
      <c r="J62" s="137"/>
      <c r="K62" s="137"/>
    </row>
    <row r="63">
      <c r="A63" s="7" t="s">
        <v>476</v>
      </c>
      <c r="B63" s="72">
        <f>IFERROR(VLOOKUP(A63, 'Current Decisions'!A:G, 7, FALSE), "")</f>
        <v>41.9</v>
      </c>
      <c r="C63" s="8">
        <v>1.0</v>
      </c>
      <c r="D63" s="7">
        <v>1.0</v>
      </c>
      <c r="E63" s="8">
        <v>0.0</v>
      </c>
      <c r="F63" s="7">
        <v>0.0</v>
      </c>
      <c r="G63" s="7" t="s">
        <v>564</v>
      </c>
    </row>
    <row r="64">
      <c r="A64" s="7" t="s">
        <v>484</v>
      </c>
      <c r="B64" s="72">
        <f>IFERROR(VLOOKUP(A64, 'Current Decisions'!A:G, 7, FALSE), "")</f>
        <v>24.1</v>
      </c>
      <c r="C64" s="8">
        <v>1.0</v>
      </c>
      <c r="D64" s="7">
        <v>1.0</v>
      </c>
      <c r="E64" s="8">
        <v>1.0</v>
      </c>
      <c r="F64" s="7">
        <v>1.0</v>
      </c>
      <c r="G64" s="7" t="s">
        <v>564</v>
      </c>
    </row>
    <row r="65">
      <c r="A65" s="7" t="s">
        <v>491</v>
      </c>
      <c r="B65" s="72">
        <f>IFERROR(VLOOKUP(A65, 'Current Decisions'!A:G, 7, FALSE), "")</f>
        <v>34.7</v>
      </c>
      <c r="C65" s="8">
        <v>0.0</v>
      </c>
      <c r="D65" s="7">
        <v>0.0</v>
      </c>
      <c r="E65" s="8">
        <v>1.0</v>
      </c>
      <c r="F65" s="7">
        <v>1.0</v>
      </c>
      <c r="G65" s="7" t="s">
        <v>564</v>
      </c>
    </row>
    <row r="66">
      <c r="A66" s="7" t="s">
        <v>492</v>
      </c>
      <c r="B66" s="72">
        <f>IFERROR(VLOOKUP(A66, 'Current Decisions'!A:G, 7, FALSE), "")</f>
        <v>21</v>
      </c>
      <c r="C66" s="7">
        <v>0.0</v>
      </c>
      <c r="D66" s="7">
        <v>0.0</v>
      </c>
      <c r="E66" s="7">
        <v>1.0</v>
      </c>
      <c r="F66" s="7">
        <v>1.0</v>
      </c>
      <c r="G66" s="7" t="s">
        <v>573</v>
      </c>
    </row>
    <row r="67">
      <c r="A67" s="7" t="s">
        <v>507</v>
      </c>
      <c r="B67" s="72" t="str">
        <f>IFERROR(VLOOKUP(A67, 'Current Decisions'!A:G, 7, FALSE), "")</f>
        <v>needs update</v>
      </c>
      <c r="C67" s="8">
        <v>1.0</v>
      </c>
      <c r="E67" s="8">
        <v>1.0</v>
      </c>
    </row>
    <row r="68">
      <c r="A68" s="7" t="s">
        <v>514</v>
      </c>
      <c r="B68" s="72" t="str">
        <f>IFERROR(VLOOKUP(A68, 'Current Decisions'!A:G, 7, FALSE), "")</f>
        <v>needs update</v>
      </c>
      <c r="C68" s="8">
        <v>1.0</v>
      </c>
      <c r="E68" s="8">
        <v>1.0</v>
      </c>
    </row>
    <row r="69">
      <c r="A69" s="7" t="s">
        <v>515</v>
      </c>
      <c r="B69" s="72">
        <f>IFERROR(VLOOKUP(A69, 'Current Decisions'!A:G, 7, FALSE), "")</f>
        <v>26</v>
      </c>
      <c r="C69" s="8">
        <v>0.0</v>
      </c>
      <c r="D69" s="72"/>
      <c r="E69" s="8">
        <v>1.0</v>
      </c>
      <c r="F69" s="7">
        <v>1.0</v>
      </c>
      <c r="G69" s="7" t="s">
        <v>564</v>
      </c>
    </row>
    <row r="70">
      <c r="A70" s="7" t="s">
        <v>507</v>
      </c>
      <c r="B70" s="19" t="str">
        <f>IFERROR(VLOOKUP(A70, 'Current Decisions'!A:G, 7, FALSE), "")</f>
        <v>needs update</v>
      </c>
      <c r="C70" s="8">
        <v>1.0</v>
      </c>
      <c r="E70" s="8">
        <v>1.0</v>
      </c>
    </row>
    <row r="71">
      <c r="A71" s="7" t="s">
        <v>507</v>
      </c>
      <c r="B71" s="72" t="str">
        <f>IFERROR(VLOOKUP(A71, 'Current Decisions'!A:G, 7, FALSE), "")</f>
        <v>needs update</v>
      </c>
      <c r="C71" s="8">
        <v>1.0</v>
      </c>
      <c r="E71" s="8">
        <v>1.0</v>
      </c>
    </row>
    <row r="72">
      <c r="A72" s="30" t="s">
        <v>514</v>
      </c>
      <c r="B72" s="67" t="str">
        <f>IFERROR(VLOOKUP(A72, 'Current Decisions'!A:G, 7, FALSE), "")</f>
        <v>needs update</v>
      </c>
      <c r="C72" s="67">
        <v>1.0</v>
      </c>
      <c r="D72" s="30"/>
      <c r="E72" s="67">
        <v>1.0</v>
      </c>
      <c r="F72" s="30"/>
      <c r="G72" s="30"/>
    </row>
    <row r="73">
      <c r="A73" s="7" t="s">
        <v>515</v>
      </c>
      <c r="B73" s="72">
        <f>IFERROR(VLOOKUP(A73, 'Current Decisions'!A:G, 7, FALSE), "")</f>
        <v>26</v>
      </c>
      <c r="C73" s="8">
        <v>0.0</v>
      </c>
      <c r="E73" s="8">
        <v>1.0</v>
      </c>
    </row>
    <row r="74">
      <c r="A74" s="30" t="s">
        <v>507</v>
      </c>
      <c r="B74" s="67" t="str">
        <f>IFERROR(VLOOKUP(A74, 'Current Decisions'!A:G, 7, FALSE), "")</f>
        <v>needs update</v>
      </c>
      <c r="C74" s="67">
        <v>1.0</v>
      </c>
      <c r="D74" s="30"/>
      <c r="E74" s="67">
        <v>1.0</v>
      </c>
      <c r="F74" s="30"/>
      <c r="G74" s="30"/>
    </row>
    <row r="75">
      <c r="A75" s="7" t="s">
        <v>514</v>
      </c>
      <c r="B75" s="72" t="str">
        <f>IFERROR(VLOOKUP(A75, 'Current Decisions'!A:G, 7, FALSE), "")</f>
        <v>needs update</v>
      </c>
      <c r="C75" s="8">
        <v>1.0</v>
      </c>
      <c r="E75" s="8">
        <v>1.0</v>
      </c>
    </row>
    <row r="80">
      <c r="A80" s="102"/>
      <c r="B80" s="119"/>
      <c r="C80" s="119"/>
      <c r="D80" s="102"/>
      <c r="E80" s="119"/>
      <c r="F80" s="102"/>
      <c r="G80" s="102"/>
    </row>
  </sheetData>
  <conditionalFormatting sqref="G2:G14">
    <cfRule type="expression" dxfId="8" priority="1">
      <formula>OR($G2="W",$G2="W/R")</formula>
    </cfRule>
  </conditionalFormatting>
  <conditionalFormatting sqref="A2:G493">
    <cfRule type="expression" dxfId="5" priority="2">
      <formula>OR($G2="C",$G2="Confirmed in Symplicity")</formula>
    </cfRule>
  </conditionalFormatting>
  <conditionalFormatting sqref="A2:F51 G2:G53">
    <cfRule type="expression" dxfId="8" priority="3">
      <formula>OR($G2="W", $G2="W/R",ISBLANK($G2))</formula>
    </cfRule>
  </conditionalFormatting>
  <conditionalFormatting sqref="A2:G493">
    <cfRule type="expression" dxfId="6" priority="4">
      <formula>$G2="BTT"</formula>
    </cfRule>
  </conditionalFormatting>
  <conditionalFormatting sqref="A2:G42 A45:F51 G45:G53">
    <cfRule type="expression" dxfId="7" priority="5">
      <formula>$G2="R"</formula>
    </cfRule>
  </conditionalFormatting>
  <conditionalFormatting sqref="A2:F51 G2:G53">
    <cfRule type="expression" dxfId="10" priority="6">
      <formula>$G2="B"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</cols>
  <sheetData>
    <row r="1">
      <c r="A1" s="7" t="s">
        <v>536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</row>
    <row r="2">
      <c r="A2" s="7" t="s">
        <v>438</v>
      </c>
      <c r="B2" s="72">
        <f>IFERROR(VLOOKUP(A2, 'Current Decisions'!A:G, 7, FALSE), "")</f>
        <v>42.1</v>
      </c>
      <c r="C2" s="8">
        <v>1.0</v>
      </c>
      <c r="D2" s="7">
        <v>1.0</v>
      </c>
      <c r="E2" s="8">
        <v>0.0</v>
      </c>
      <c r="F2" s="7">
        <v>0.0</v>
      </c>
      <c r="G2" s="7" t="s">
        <v>564</v>
      </c>
    </row>
    <row r="3">
      <c r="A3" s="7" t="s">
        <v>458</v>
      </c>
      <c r="B3" s="72">
        <f>IFERROR(VLOOKUP(A3, 'Current Decisions'!A:G, 7, FALSE), "")</f>
        <v>26.3</v>
      </c>
      <c r="C3" s="7">
        <v>0.0</v>
      </c>
      <c r="D3" s="7">
        <v>0.0</v>
      </c>
      <c r="E3" s="7">
        <v>1.0</v>
      </c>
      <c r="F3" s="7">
        <v>1.0</v>
      </c>
      <c r="G3" s="7" t="s">
        <v>564</v>
      </c>
    </row>
  </sheetData>
  <conditionalFormatting sqref="G2">
    <cfRule type="expression" dxfId="8" priority="1">
      <formula>OR($G2="W", $G2="W/R",ISBLANK($G2))</formula>
    </cfRule>
  </conditionalFormatting>
  <conditionalFormatting sqref="G2">
    <cfRule type="expression" dxfId="10" priority="2">
      <formula>$G2="B"</formula>
    </cfRule>
  </conditionalFormatting>
  <conditionalFormatting sqref="A2:G4">
    <cfRule type="expression" dxfId="5" priority="3">
      <formula>OR($G2="C",$G2="Confirmed in Symplicity")</formula>
    </cfRule>
  </conditionalFormatting>
  <conditionalFormatting sqref="A2:G4">
    <cfRule type="expression" dxfId="8" priority="4">
      <formula>OR($G2="W",$G2="W/R")</formula>
    </cfRule>
  </conditionalFormatting>
  <conditionalFormatting sqref="A2:G4">
    <cfRule type="expression" dxfId="6" priority="5">
      <formula>$G2="BTT"</formula>
    </cfRule>
  </conditionalFormatting>
  <conditionalFormatting sqref="A2:G4">
    <cfRule type="expression" dxfId="7" priority="6">
      <formula>$G2="R"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537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204</v>
      </c>
      <c r="B2" s="72">
        <f>IFERROR(VLOOKUP(A2, 'Current Decisions'!A:G, 7, FALSE), "")</f>
        <v>26</v>
      </c>
      <c r="C2" s="8">
        <v>1.0</v>
      </c>
      <c r="D2" s="7">
        <v>1.0</v>
      </c>
      <c r="E2" s="8">
        <v>0.0</v>
      </c>
      <c r="F2" s="7">
        <v>0.0</v>
      </c>
      <c r="G2" s="7" t="s">
        <v>564</v>
      </c>
    </row>
  </sheetData>
  <conditionalFormatting sqref="A2:G238">
    <cfRule type="expression" dxfId="5" priority="1">
      <formula>OR($G2="C",$G2="Confirmed in Symplicity")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7" max="7" width="21.75"/>
  </cols>
  <sheetData>
    <row r="1">
      <c r="A1" s="7" t="s">
        <v>588</v>
      </c>
      <c r="B1" s="43" t="s">
        <v>563</v>
      </c>
      <c r="C1" s="43" t="s">
        <v>8</v>
      </c>
      <c r="D1" s="43" t="s">
        <v>9</v>
      </c>
      <c r="E1" s="43" t="s">
        <v>10</v>
      </c>
      <c r="F1" s="43" t="s">
        <v>11</v>
      </c>
      <c r="G1" s="7" t="s">
        <v>7</v>
      </c>
    </row>
    <row r="2">
      <c r="A2" s="7" t="s">
        <v>228</v>
      </c>
      <c r="B2" s="72">
        <f>IFERROR(VLOOKUP(A2, 'Current Decisions'!A:G, 7, FALSE), "")</f>
        <v>58.1</v>
      </c>
      <c r="C2" s="8">
        <v>1.0</v>
      </c>
      <c r="D2" s="72">
        <f>C2</f>
        <v>1</v>
      </c>
      <c r="E2" s="8">
        <v>0.0</v>
      </c>
      <c r="F2" s="72">
        <f>E2</f>
        <v>0</v>
      </c>
      <c r="G2" s="14" t="s">
        <v>564</v>
      </c>
    </row>
    <row r="3">
      <c r="A3" s="7" t="s">
        <v>286</v>
      </c>
      <c r="B3" s="19">
        <f>IFERROR(VLOOKUP(A3, 'Current Decisions'!A:G, 7, FALSE), "")</f>
        <v>5</v>
      </c>
      <c r="C3" s="8">
        <v>0.0</v>
      </c>
      <c r="D3" s="29">
        <v>0.0</v>
      </c>
      <c r="E3" s="8">
        <v>1.0</v>
      </c>
      <c r="F3" s="29">
        <v>1.0</v>
      </c>
      <c r="G3" s="99" t="s">
        <v>564</v>
      </c>
    </row>
    <row r="4">
      <c r="A4" s="7" t="s">
        <v>287</v>
      </c>
      <c r="B4" s="19">
        <f>IFERROR(VLOOKUP(A4, 'Current Decisions'!A:G, 7, FALSE), "")</f>
        <v>9</v>
      </c>
      <c r="C4" s="8">
        <v>1.0</v>
      </c>
      <c r="D4" s="7">
        <v>1.0</v>
      </c>
      <c r="E4" s="8">
        <v>1.0</v>
      </c>
      <c r="F4" s="7">
        <v>1.0</v>
      </c>
      <c r="G4" s="14" t="s">
        <v>564</v>
      </c>
    </row>
    <row r="5">
      <c r="A5" s="7" t="s">
        <v>420</v>
      </c>
      <c r="B5" s="19">
        <f>IFERROR(VLOOKUP(A5, 'Current Decisions'!A:G, 7, FALSE), "")</f>
        <v>14</v>
      </c>
      <c r="C5" s="8">
        <v>1.0</v>
      </c>
      <c r="D5" s="7">
        <v>1.0</v>
      </c>
      <c r="E5" s="8">
        <v>0.0</v>
      </c>
      <c r="F5" s="7">
        <v>0.0</v>
      </c>
      <c r="G5" s="99" t="s">
        <v>564</v>
      </c>
    </row>
    <row r="6">
      <c r="A6" s="102"/>
      <c r="B6" s="103"/>
      <c r="C6" s="102"/>
      <c r="D6" s="102"/>
      <c r="E6" s="102"/>
      <c r="F6" s="102"/>
      <c r="G6" s="102"/>
    </row>
    <row r="7">
      <c r="A7" s="72"/>
      <c r="B7" s="72"/>
      <c r="C7" s="72"/>
      <c r="D7" s="72"/>
      <c r="E7" s="72"/>
      <c r="F7" s="72"/>
      <c r="G7" s="99"/>
    </row>
    <row r="8">
      <c r="A8" s="72"/>
      <c r="B8" s="19"/>
      <c r="C8" s="72"/>
      <c r="D8" s="72"/>
      <c r="E8" s="72"/>
      <c r="F8" s="72"/>
      <c r="G8" s="99"/>
    </row>
    <row r="9">
      <c r="A9" s="72"/>
      <c r="B9" s="19"/>
      <c r="C9" s="72"/>
      <c r="D9" s="72"/>
      <c r="E9" s="72"/>
      <c r="F9" s="72"/>
      <c r="G9" s="72"/>
    </row>
    <row r="10">
      <c r="A10" s="72"/>
      <c r="B10" s="19"/>
      <c r="C10" s="72"/>
      <c r="D10" s="72"/>
      <c r="E10" s="72"/>
      <c r="F10" s="72"/>
      <c r="G10" s="99"/>
    </row>
    <row r="11">
      <c r="A11" s="72"/>
      <c r="B11" s="19"/>
      <c r="C11" s="72"/>
      <c r="D11" s="72"/>
      <c r="E11" s="72"/>
      <c r="F11" s="72"/>
      <c r="G11" s="99"/>
    </row>
    <row r="12">
      <c r="A12" s="72"/>
      <c r="B12" s="19"/>
      <c r="C12" s="72"/>
      <c r="D12" s="72"/>
      <c r="E12" s="72"/>
      <c r="F12" s="72"/>
      <c r="G12" s="101"/>
    </row>
    <row r="13">
      <c r="A13" s="72"/>
      <c r="B13" s="72"/>
      <c r="C13" s="72"/>
      <c r="D13" s="72"/>
      <c r="E13" s="72"/>
      <c r="F13" s="72"/>
      <c r="G13" s="99"/>
    </row>
    <row r="14">
      <c r="A14" s="72"/>
      <c r="B14" s="19"/>
      <c r="C14" s="72"/>
      <c r="D14" s="29"/>
      <c r="E14" s="72"/>
      <c r="F14" s="29"/>
      <c r="G14" s="99"/>
    </row>
    <row r="15">
      <c r="A15" s="72"/>
      <c r="B15" s="19"/>
      <c r="C15" s="72"/>
      <c r="D15" s="72"/>
      <c r="E15" s="72"/>
      <c r="F15" s="72"/>
      <c r="G15" s="99"/>
    </row>
    <row r="16">
      <c r="A16" s="72"/>
      <c r="B16" s="19"/>
      <c r="C16" s="72"/>
      <c r="D16" s="72"/>
      <c r="E16" s="72"/>
      <c r="F16" s="72"/>
      <c r="G16" s="101"/>
    </row>
    <row r="17">
      <c r="A17" s="72"/>
      <c r="B17" s="72"/>
      <c r="C17" s="72"/>
      <c r="D17" s="72"/>
      <c r="E17" s="72"/>
      <c r="F17" s="72"/>
      <c r="G17" s="99"/>
    </row>
    <row r="18">
      <c r="A18" s="72"/>
      <c r="B18" s="19"/>
      <c r="C18" s="72"/>
      <c r="D18" s="72"/>
      <c r="E18" s="72"/>
      <c r="F18" s="72"/>
      <c r="G18" s="99"/>
    </row>
    <row r="19">
      <c r="A19" s="72"/>
      <c r="B19" s="19"/>
      <c r="C19" s="72"/>
      <c r="D19" s="72"/>
      <c r="E19" s="72"/>
      <c r="F19" s="72"/>
      <c r="G19" s="101"/>
    </row>
    <row r="20">
      <c r="A20" s="72"/>
      <c r="B20" s="72"/>
      <c r="C20" s="72"/>
      <c r="D20" s="29"/>
      <c r="E20" s="72"/>
      <c r="F20" s="29"/>
      <c r="G20" s="72"/>
    </row>
  </sheetData>
  <conditionalFormatting sqref="G2 G4">
    <cfRule type="expression" dxfId="5" priority="1">
      <formula>OR($G2="C",$G2="Confirmed in Symplicity")</formula>
    </cfRule>
  </conditionalFormatting>
  <conditionalFormatting sqref="G2 G4">
    <cfRule type="expression" dxfId="8" priority="2">
      <formula>OR($G2="W",$G2="W/R")</formula>
    </cfRule>
  </conditionalFormatting>
  <conditionalFormatting sqref="G2 G4">
    <cfRule type="expression" dxfId="6" priority="3">
      <formula>$G2="BTT"</formula>
    </cfRule>
  </conditionalFormatting>
  <conditionalFormatting sqref="G2 G4">
    <cfRule type="expression" dxfId="7" priority="4">
      <formula>$G2="R"</formula>
    </cfRule>
  </conditionalFormatting>
  <conditionalFormatting sqref="A2:G20">
    <cfRule type="expression" dxfId="11" priority="5">
      <formula>OR($G2="Confirmed in Symplicity",$G2="C")</formula>
    </cfRule>
  </conditionalFormatting>
  <conditionalFormatting sqref="A2:G20">
    <cfRule type="expression" dxfId="8" priority="6">
      <formula>OR($G2="W",ISBLANK($G2))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8" max="8" width="10.75"/>
    <col customWidth="1" min="9" max="9" width="20.75"/>
    <col customWidth="1" min="10" max="10" width="24.25"/>
  </cols>
  <sheetData>
    <row r="1">
      <c r="A1" s="7" t="s">
        <v>589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15</v>
      </c>
      <c r="B2" s="72">
        <f>IFERROR(VLOOKUP(A2, 'Current Decisions'!A:G, 7, FALSE), "")</f>
        <v>50.1</v>
      </c>
      <c r="C2" s="8">
        <v>2.0</v>
      </c>
      <c r="D2" s="72">
        <f>C2</f>
        <v>2</v>
      </c>
      <c r="E2" s="8">
        <v>0.0</v>
      </c>
      <c r="F2" s="72">
        <f>E2</f>
        <v>0</v>
      </c>
      <c r="G2" s="14" t="s">
        <v>564</v>
      </c>
      <c r="J2" s="138"/>
    </row>
    <row r="3">
      <c r="A3" s="7" t="s">
        <v>377</v>
      </c>
      <c r="B3" s="72">
        <f>IFERROR(VLOOKUP(A3, 'Current Decisions'!A:G, 7, FALSE), "")</f>
        <v>35.3</v>
      </c>
      <c r="C3" s="8">
        <v>1.0</v>
      </c>
      <c r="D3" s="7">
        <v>1.0</v>
      </c>
      <c r="E3" s="8">
        <v>0.0</v>
      </c>
      <c r="F3" s="7">
        <v>0.0</v>
      </c>
      <c r="G3" s="14" t="s">
        <v>564</v>
      </c>
    </row>
    <row r="4">
      <c r="A4" s="7" t="s">
        <v>59</v>
      </c>
      <c r="B4" s="72">
        <f>IFERROR(VLOOKUP(A4, 'Current Decisions'!A:G, 7, FALSE), "")</f>
        <v>32.8</v>
      </c>
      <c r="C4" s="8">
        <v>1.0</v>
      </c>
      <c r="D4" s="72">
        <f>C4</f>
        <v>1</v>
      </c>
      <c r="E4" s="8">
        <v>0.0</v>
      </c>
      <c r="F4" s="72">
        <f>E4</f>
        <v>0</v>
      </c>
      <c r="G4" s="14" t="s">
        <v>564</v>
      </c>
      <c r="H4" s="96"/>
      <c r="I4" s="96"/>
      <c r="J4" s="96"/>
    </row>
    <row r="5">
      <c r="A5" s="7" t="s">
        <v>421</v>
      </c>
      <c r="B5" s="72">
        <f>IFERROR(VLOOKUP(A5, 'Current Decisions'!A:G, 7, FALSE), "")</f>
        <v>15.1</v>
      </c>
      <c r="C5" s="8">
        <v>0.0</v>
      </c>
      <c r="D5" s="7">
        <v>0.0</v>
      </c>
      <c r="E5" s="8">
        <v>1.0</v>
      </c>
      <c r="F5" s="7">
        <v>1.0</v>
      </c>
      <c r="G5" s="7" t="s">
        <v>564</v>
      </c>
      <c r="H5" s="96"/>
      <c r="I5" s="96"/>
      <c r="J5" s="96"/>
    </row>
    <row r="6">
      <c r="A6" s="7" t="s">
        <v>449</v>
      </c>
      <c r="B6" s="72">
        <f>IFERROR(VLOOKUP(A6, 'Current Decisions'!A:G, 7, FALSE), "")</f>
        <v>6.7</v>
      </c>
      <c r="C6" s="7">
        <v>0.0</v>
      </c>
      <c r="D6" s="7">
        <v>0.0</v>
      </c>
      <c r="E6" s="7">
        <v>1.0</v>
      </c>
      <c r="F6" s="7">
        <v>1.0</v>
      </c>
      <c r="G6" s="14" t="s">
        <v>573</v>
      </c>
    </row>
    <row r="7">
      <c r="A7" s="7" t="s">
        <v>474</v>
      </c>
      <c r="B7" s="72">
        <f>IFERROR(VLOOKUP(A7, 'Current Decisions'!A:G, 7, FALSE), "")</f>
        <v>17.39</v>
      </c>
      <c r="C7" s="7">
        <v>0.0</v>
      </c>
      <c r="D7" s="7">
        <v>0.0</v>
      </c>
      <c r="E7" s="7">
        <v>1.0</v>
      </c>
      <c r="F7" s="7">
        <v>1.0</v>
      </c>
      <c r="G7" s="14" t="s">
        <v>573</v>
      </c>
    </row>
    <row r="8">
      <c r="A8" s="7" t="s">
        <v>489</v>
      </c>
      <c r="B8" s="72">
        <f>IFERROR(VLOOKUP(A8, 'Current Decisions'!A:G, 7, FALSE), "")</f>
        <v>31.2</v>
      </c>
      <c r="C8" s="8">
        <v>1.0</v>
      </c>
      <c r="D8" s="29">
        <v>1.0</v>
      </c>
      <c r="E8" s="8">
        <v>0.0</v>
      </c>
      <c r="F8" s="29">
        <v>0.0</v>
      </c>
      <c r="G8" s="14" t="s">
        <v>564</v>
      </c>
      <c r="H8" s="7" t="s">
        <v>583</v>
      </c>
    </row>
    <row r="9">
      <c r="A9" s="7" t="s">
        <v>505</v>
      </c>
      <c r="B9" s="72" t="str">
        <f>IFERROR(VLOOKUP(A9, 'Current Decisions'!A:G, 7, FALSE), "")</f>
        <v>needs update</v>
      </c>
      <c r="C9" s="8">
        <v>1.0</v>
      </c>
      <c r="D9" s="72"/>
      <c r="E9" s="8">
        <v>1.0</v>
      </c>
      <c r="F9" s="72"/>
      <c r="G9" s="14"/>
    </row>
    <row r="10">
      <c r="A10" s="7" t="s">
        <v>505</v>
      </c>
      <c r="B10" s="72" t="str">
        <f>IFERROR(VLOOKUP(A10, 'Current Decisions'!A:G, 7, FALSE), "")</f>
        <v>needs update</v>
      </c>
      <c r="C10" s="8">
        <v>1.0</v>
      </c>
      <c r="D10" s="72"/>
      <c r="E10" s="8">
        <v>1.0</v>
      </c>
      <c r="F10" s="72"/>
      <c r="G10" s="14"/>
    </row>
    <row r="11">
      <c r="A11" s="7" t="s">
        <v>505</v>
      </c>
      <c r="B11" s="72" t="str">
        <f>IFERROR(VLOOKUP(A11, 'Current Decisions'!A:G, 7, FALSE), "")</f>
        <v>needs update</v>
      </c>
      <c r="C11" s="8">
        <v>1.0</v>
      </c>
      <c r="D11" s="72"/>
      <c r="E11" s="8">
        <v>1.0</v>
      </c>
      <c r="F11" s="72"/>
      <c r="G11" s="14"/>
    </row>
    <row r="12">
      <c r="A12" s="7" t="s">
        <v>505</v>
      </c>
      <c r="B12" s="72" t="str">
        <f>IFERROR(VLOOKUP(A12, 'Current Decisions'!A:G, 7, FALSE), "")</f>
        <v>needs update</v>
      </c>
      <c r="C12" s="8">
        <v>1.0</v>
      </c>
      <c r="D12" s="72"/>
      <c r="E12" s="8">
        <v>1.0</v>
      </c>
      <c r="F12" s="72"/>
      <c r="G12" s="14"/>
    </row>
    <row r="13">
      <c r="A13" s="72"/>
      <c r="B13" s="72"/>
      <c r="C13" s="72"/>
      <c r="D13" s="72"/>
      <c r="E13" s="72"/>
      <c r="F13" s="72"/>
      <c r="G13" s="14"/>
    </row>
    <row r="14">
      <c r="A14" s="72"/>
      <c r="B14" s="72"/>
      <c r="C14" s="72"/>
      <c r="D14" s="72"/>
      <c r="E14" s="72"/>
      <c r="F14" s="72"/>
      <c r="G14" s="14"/>
    </row>
    <row r="15">
      <c r="G15" s="14"/>
    </row>
    <row r="16">
      <c r="G16" s="14"/>
    </row>
    <row r="17">
      <c r="G17" s="14"/>
    </row>
    <row r="18">
      <c r="G18" s="14"/>
    </row>
    <row r="19">
      <c r="G19" s="14"/>
    </row>
    <row r="20">
      <c r="G20" s="139"/>
    </row>
    <row r="22">
      <c r="G22" s="139"/>
    </row>
    <row r="23">
      <c r="G23" s="139"/>
    </row>
    <row r="24">
      <c r="G24" s="29"/>
    </row>
    <row r="44">
      <c r="A44" s="98"/>
    </row>
    <row r="45">
      <c r="A45" s="98"/>
    </row>
  </sheetData>
  <conditionalFormatting sqref="A2:F14 G2:G16 G18:G19">
    <cfRule type="expression" dxfId="8" priority="1">
      <formula>OR($G2="W", $G2="W/R",ISBLANK($G2))</formula>
    </cfRule>
  </conditionalFormatting>
  <conditionalFormatting sqref="A2:F14 G2:G16 G18:G19">
    <cfRule type="expression" dxfId="10" priority="2">
      <formula>$G2="B"</formula>
    </cfRule>
  </conditionalFormatting>
  <conditionalFormatting sqref="A2:G31">
    <cfRule type="expression" dxfId="5" priority="3">
      <formula>OR($G2="C",$G2="Confirmed in Symplicity")</formula>
    </cfRule>
  </conditionalFormatting>
  <conditionalFormatting sqref="A2:G31">
    <cfRule type="expression" dxfId="8" priority="4">
      <formula>OR($G2="W",$G2="W/R")</formula>
    </cfRule>
  </conditionalFormatting>
  <conditionalFormatting sqref="A2:G31">
    <cfRule type="expression" dxfId="6" priority="5">
      <formula>$G2="BTT"</formula>
    </cfRule>
  </conditionalFormatting>
  <conditionalFormatting sqref="A2:G31">
    <cfRule type="expression" dxfId="7" priority="6">
      <formula>$G2="R"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5.38"/>
    <col customWidth="1" min="7" max="7" width="28.0"/>
    <col customWidth="1" min="8" max="8" width="17.75"/>
    <col customWidth="1" min="12" max="12" width="14.0"/>
  </cols>
  <sheetData>
    <row r="1">
      <c r="A1" s="7" t="s">
        <v>590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111</v>
      </c>
      <c r="B2" s="72">
        <f>IFERROR(VLOOKUP(A2, 'Current Decisions'!A:G, 7, FALSE), "")</f>
        <v>66</v>
      </c>
      <c r="C2" s="8">
        <v>2.0</v>
      </c>
      <c r="D2" s="72">
        <f t="shared" ref="D2:D5" si="1">C2</f>
        <v>2</v>
      </c>
      <c r="E2" s="8">
        <v>2.0</v>
      </c>
      <c r="F2" s="29">
        <f t="shared" ref="F2:F5" si="2">E2</f>
        <v>2</v>
      </c>
      <c r="G2" s="7" t="s">
        <v>564</v>
      </c>
    </row>
    <row r="3">
      <c r="A3" s="7" t="s">
        <v>197</v>
      </c>
      <c r="B3" s="72">
        <f>IFERROR(VLOOKUP(A3, 'Current Decisions'!A:G, 7, FALSE), "")</f>
        <v>61.2</v>
      </c>
      <c r="C3" s="29">
        <v>4.0</v>
      </c>
      <c r="D3" s="72">
        <f t="shared" si="1"/>
        <v>4</v>
      </c>
      <c r="E3" s="29">
        <v>4.0</v>
      </c>
      <c r="F3" s="29">
        <f t="shared" si="2"/>
        <v>4</v>
      </c>
      <c r="G3" s="7" t="s">
        <v>564</v>
      </c>
      <c r="H3" s="12"/>
    </row>
    <row r="4">
      <c r="A4" s="7" t="s">
        <v>239</v>
      </c>
      <c r="B4" s="72">
        <f>IFERROR(VLOOKUP(A4, 'Current Decisions'!A:G, 7, FALSE), "")</f>
        <v>54.3</v>
      </c>
      <c r="C4" s="29">
        <v>1.0</v>
      </c>
      <c r="D4" s="72">
        <f t="shared" si="1"/>
        <v>1</v>
      </c>
      <c r="E4" s="29">
        <v>1.0</v>
      </c>
      <c r="F4" s="29">
        <f t="shared" si="2"/>
        <v>1</v>
      </c>
      <c r="G4" s="7" t="s">
        <v>564</v>
      </c>
      <c r="H4" s="131"/>
    </row>
    <row r="5">
      <c r="A5" s="7" t="s">
        <v>238</v>
      </c>
      <c r="B5" s="72">
        <f>IFERROR(VLOOKUP(A5, 'Current Decisions'!A:G, 7, FALSE), "")</f>
        <v>54.2</v>
      </c>
      <c r="C5" s="29">
        <v>1.0</v>
      </c>
      <c r="D5" s="72">
        <f t="shared" si="1"/>
        <v>1</v>
      </c>
      <c r="E5" s="29">
        <v>0.0</v>
      </c>
      <c r="F5" s="29">
        <f t="shared" si="2"/>
        <v>0</v>
      </c>
      <c r="G5" s="7" t="s">
        <v>564</v>
      </c>
      <c r="H5" s="131"/>
    </row>
    <row r="6">
      <c r="A6" s="7" t="s">
        <v>322</v>
      </c>
      <c r="B6" s="72">
        <f>IFERROR(VLOOKUP(A6, 'Current Decisions'!A:G, 7, FALSE), "")</f>
        <v>54.1</v>
      </c>
      <c r="C6" s="29">
        <v>2.0</v>
      </c>
      <c r="D6" s="29">
        <v>2.0</v>
      </c>
      <c r="E6" s="29">
        <v>2.0</v>
      </c>
      <c r="F6" s="29">
        <v>2.0</v>
      </c>
      <c r="G6" s="7" t="s">
        <v>564</v>
      </c>
    </row>
    <row r="7">
      <c r="A7" s="7" t="s">
        <v>300</v>
      </c>
      <c r="B7" s="72">
        <f>IFERROR(VLOOKUP(A7, 'Current Decisions'!A:G, 7, FALSE), "")</f>
        <v>53.5</v>
      </c>
      <c r="C7" s="8">
        <v>4.0</v>
      </c>
      <c r="D7" s="7">
        <v>4.0</v>
      </c>
      <c r="E7" s="8">
        <v>4.0</v>
      </c>
      <c r="F7" s="7">
        <v>4.0</v>
      </c>
      <c r="G7" s="7" t="s">
        <v>564</v>
      </c>
      <c r="H7" s="131"/>
    </row>
    <row r="8">
      <c r="A8" s="7" t="s">
        <v>316</v>
      </c>
      <c r="B8" s="72">
        <f>IFERROR(VLOOKUP(A8, 'Current Decisions'!A:G, 7, FALSE), "")</f>
        <v>52.6</v>
      </c>
      <c r="C8" s="8">
        <v>1.0</v>
      </c>
      <c r="D8" s="7">
        <v>1.0</v>
      </c>
      <c r="E8" s="8">
        <v>1.0</v>
      </c>
      <c r="F8" s="7">
        <v>1.0</v>
      </c>
      <c r="G8" s="7" t="s">
        <v>564</v>
      </c>
      <c r="H8" s="131"/>
    </row>
    <row r="9">
      <c r="A9" s="7" t="s">
        <v>171</v>
      </c>
      <c r="B9" s="72">
        <f>IFERROR(VLOOKUP(A9, 'Current Decisions'!A:G, 7, FALSE), "")</f>
        <v>52.2</v>
      </c>
      <c r="C9" s="8">
        <v>1.0</v>
      </c>
      <c r="D9" s="72">
        <f t="shared" ref="D9:D10" si="3">C9</f>
        <v>1</v>
      </c>
      <c r="E9" s="7">
        <v>0.0</v>
      </c>
      <c r="F9" s="29">
        <f t="shared" ref="F9:F10" si="4">E9</f>
        <v>0</v>
      </c>
      <c r="G9" s="7" t="s">
        <v>564</v>
      </c>
      <c r="H9" s="131"/>
    </row>
    <row r="10">
      <c r="A10" s="7" t="s">
        <v>269</v>
      </c>
      <c r="B10" s="72">
        <f>IFERROR(VLOOKUP(A10, 'Current Decisions'!A:G, 7, FALSE), "")</f>
        <v>50.4</v>
      </c>
      <c r="C10" s="29">
        <v>2.0</v>
      </c>
      <c r="D10" s="72">
        <f t="shared" si="3"/>
        <v>2</v>
      </c>
      <c r="E10" s="29">
        <v>2.0</v>
      </c>
      <c r="F10" s="29">
        <f t="shared" si="4"/>
        <v>2</v>
      </c>
      <c r="G10" s="7" t="s">
        <v>564</v>
      </c>
      <c r="H10" s="131"/>
    </row>
    <row r="11">
      <c r="A11" s="7" t="s">
        <v>317</v>
      </c>
      <c r="B11" s="72">
        <f>IFERROR(VLOOKUP(A11, 'Current Decisions'!A:G, 7, FALSE), "")</f>
        <v>48.2</v>
      </c>
      <c r="C11" s="29">
        <v>2.0</v>
      </c>
      <c r="D11" s="29">
        <v>2.0</v>
      </c>
      <c r="E11" s="29">
        <v>2.0</v>
      </c>
      <c r="F11" s="29">
        <v>2.0</v>
      </c>
      <c r="G11" s="7" t="s">
        <v>564</v>
      </c>
    </row>
    <row r="12">
      <c r="A12" s="7" t="s">
        <v>367</v>
      </c>
      <c r="B12" s="72">
        <f>IFERROR(VLOOKUP(A12, 'Current Decisions'!A:G, 7, FALSE), "")</f>
        <v>46.5</v>
      </c>
      <c r="C12" s="8">
        <v>1.0</v>
      </c>
      <c r="D12" s="7">
        <v>1.0</v>
      </c>
      <c r="E12" s="8">
        <v>1.0</v>
      </c>
      <c r="F12" s="7">
        <v>1.0</v>
      </c>
      <c r="G12" s="7" t="s">
        <v>564</v>
      </c>
    </row>
    <row r="13">
      <c r="A13" s="7" t="s">
        <v>61</v>
      </c>
      <c r="B13" s="72">
        <f>IFERROR(VLOOKUP(A13, 'Current Decisions'!A:G, 7, FALSE), "")</f>
        <v>46.2</v>
      </c>
      <c r="C13" s="8">
        <v>2.0</v>
      </c>
      <c r="D13" s="72">
        <f>C13</f>
        <v>2</v>
      </c>
      <c r="E13" s="8">
        <v>2.0</v>
      </c>
      <c r="F13" s="29">
        <f>E13</f>
        <v>2</v>
      </c>
      <c r="G13" s="7" t="s">
        <v>564</v>
      </c>
    </row>
    <row r="14">
      <c r="A14" s="7" t="s">
        <v>326</v>
      </c>
      <c r="B14" s="72">
        <f>IFERROR(VLOOKUP(A14, 'Current Decisions'!A:G, 7, FALSE), "")</f>
        <v>46.2</v>
      </c>
      <c r="C14" s="8">
        <v>0.0</v>
      </c>
      <c r="D14" s="7">
        <v>0.0</v>
      </c>
      <c r="E14" s="8">
        <v>1.0</v>
      </c>
      <c r="F14" s="7">
        <v>1.0</v>
      </c>
      <c r="G14" s="7" t="s">
        <v>564</v>
      </c>
    </row>
    <row r="15">
      <c r="A15" s="7" t="s">
        <v>183</v>
      </c>
      <c r="B15" s="72">
        <f>IFERROR(VLOOKUP(A15, 'Current Decisions'!A:G, 7, FALSE), "")</f>
        <v>45.9</v>
      </c>
      <c r="C15" s="8">
        <v>1.0</v>
      </c>
      <c r="D15" s="72">
        <f>C15</f>
        <v>1</v>
      </c>
      <c r="E15" s="8">
        <v>1.0</v>
      </c>
      <c r="F15" s="29">
        <f>E15</f>
        <v>1</v>
      </c>
      <c r="G15" s="7" t="s">
        <v>564</v>
      </c>
    </row>
    <row r="16">
      <c r="A16" s="7" t="s">
        <v>319</v>
      </c>
      <c r="B16" s="72">
        <f>IFERROR(VLOOKUP(A16, 'Current Decisions'!A:G, 7, FALSE), "")</f>
        <v>43.8</v>
      </c>
      <c r="C16" s="29">
        <v>0.0</v>
      </c>
      <c r="D16" s="29">
        <v>0.0</v>
      </c>
      <c r="E16" s="29">
        <v>1.0</v>
      </c>
      <c r="F16" s="29">
        <v>1.0</v>
      </c>
      <c r="G16" s="7" t="s">
        <v>564</v>
      </c>
    </row>
    <row r="17">
      <c r="A17" s="7" t="s">
        <v>290</v>
      </c>
      <c r="B17" s="72">
        <f>IFERROR(VLOOKUP(A17, 'Current Decisions'!A:G, 7, FALSE), "")</f>
        <v>42.4</v>
      </c>
      <c r="C17" s="29">
        <v>1.0</v>
      </c>
      <c r="D17" s="29">
        <v>1.0</v>
      </c>
      <c r="E17" s="29">
        <v>1.0</v>
      </c>
      <c r="F17" s="29">
        <v>1.0</v>
      </c>
      <c r="G17" s="7" t="s">
        <v>564</v>
      </c>
    </row>
    <row r="18">
      <c r="A18" s="7" t="s">
        <v>394</v>
      </c>
      <c r="B18" s="72">
        <f>IFERROR(VLOOKUP(A18, 'Current Decisions'!A:G, 7, FALSE), "")</f>
        <v>42.4</v>
      </c>
      <c r="C18" s="8">
        <v>0.0</v>
      </c>
      <c r="D18" s="7">
        <v>0.0</v>
      </c>
      <c r="E18" s="8">
        <v>1.0</v>
      </c>
      <c r="F18" s="7">
        <v>1.0</v>
      </c>
      <c r="G18" s="7" t="s">
        <v>564</v>
      </c>
    </row>
    <row r="19">
      <c r="A19" s="7" t="s">
        <v>150</v>
      </c>
      <c r="B19" s="72">
        <f>IFERROR(VLOOKUP(A19, 'Current Decisions'!A:G, 7, FALSE), "")</f>
        <v>40.8</v>
      </c>
      <c r="C19" s="29">
        <v>0.0</v>
      </c>
      <c r="D19" s="72">
        <f>C19</f>
        <v>0</v>
      </c>
      <c r="E19" s="29">
        <v>1.0</v>
      </c>
      <c r="F19" s="29">
        <f>E19</f>
        <v>1</v>
      </c>
      <c r="G19" s="7" t="s">
        <v>564</v>
      </c>
    </row>
    <row r="20">
      <c r="A20" s="7" t="s">
        <v>355</v>
      </c>
      <c r="B20" s="72">
        <f>IFERROR(VLOOKUP(A20, 'Current Decisions'!A:G, 7, FALSE), "")</f>
        <v>40</v>
      </c>
      <c r="C20" s="8">
        <v>1.0</v>
      </c>
      <c r="D20" s="7">
        <v>1.0</v>
      </c>
      <c r="E20" s="8">
        <v>0.0</v>
      </c>
      <c r="F20" s="7">
        <v>0.0</v>
      </c>
      <c r="G20" s="7" t="s">
        <v>564</v>
      </c>
      <c r="H20" s="7" t="s">
        <v>591</v>
      </c>
    </row>
    <row r="21">
      <c r="A21" s="7" t="s">
        <v>236</v>
      </c>
      <c r="B21" s="72">
        <f>IFERROR(VLOOKUP(A21, 'Current Decisions'!A:G, 7, FALSE), "")</f>
        <v>39.6</v>
      </c>
      <c r="C21" s="8">
        <v>2.0</v>
      </c>
      <c r="D21" s="72">
        <f t="shared" ref="D21:D24" si="5">C21</f>
        <v>2</v>
      </c>
      <c r="E21" s="8">
        <v>2.0</v>
      </c>
      <c r="F21" s="29">
        <f t="shared" ref="F21:F24" si="6">E21</f>
        <v>2</v>
      </c>
      <c r="G21" s="7" t="s">
        <v>564</v>
      </c>
    </row>
    <row r="22">
      <c r="A22" s="7" t="s">
        <v>32</v>
      </c>
      <c r="B22" s="72">
        <f>IFERROR(VLOOKUP(A22, 'Current Decisions'!A:G, 7, FALSE), "")</f>
        <v>39.4</v>
      </c>
      <c r="C22" s="8">
        <v>1.0</v>
      </c>
      <c r="D22" s="72">
        <f t="shared" si="5"/>
        <v>1</v>
      </c>
      <c r="E22" s="8">
        <v>1.0</v>
      </c>
      <c r="F22" s="29">
        <f t="shared" si="6"/>
        <v>1</v>
      </c>
      <c r="G22" s="7" t="s">
        <v>564</v>
      </c>
      <c r="H22" s="131"/>
    </row>
    <row r="23">
      <c r="A23" s="7" t="s">
        <v>77</v>
      </c>
      <c r="B23" s="72">
        <f>IFERROR(VLOOKUP(A23, 'Current Decisions'!A:G, 7, FALSE), "")</f>
        <v>38.5</v>
      </c>
      <c r="C23" s="8">
        <v>1.0</v>
      </c>
      <c r="D23" s="72">
        <f t="shared" si="5"/>
        <v>1</v>
      </c>
      <c r="E23" s="8">
        <v>0.0</v>
      </c>
      <c r="F23" s="29">
        <f t="shared" si="6"/>
        <v>0</v>
      </c>
      <c r="G23" s="7" t="s">
        <v>564</v>
      </c>
      <c r="H23" s="131"/>
    </row>
    <row r="24">
      <c r="A24" s="7" t="s">
        <v>95</v>
      </c>
      <c r="B24" s="72">
        <f>IFERROR(VLOOKUP(A24, 'Current Decisions'!A:G, 7, FALSE), "")</f>
        <v>37.4</v>
      </c>
      <c r="C24" s="8">
        <v>1.0</v>
      </c>
      <c r="D24" s="72">
        <f t="shared" si="5"/>
        <v>1</v>
      </c>
      <c r="E24" s="8">
        <v>0.0</v>
      </c>
      <c r="F24" s="29">
        <f t="shared" si="6"/>
        <v>0</v>
      </c>
      <c r="G24" s="7" t="s">
        <v>564</v>
      </c>
    </row>
    <row r="25">
      <c r="A25" s="7" t="s">
        <v>180</v>
      </c>
      <c r="B25" s="72">
        <f>IFERROR(VLOOKUP(A25, 'Current Decisions'!A:G, 7, FALSE), "")</f>
        <v>36.5</v>
      </c>
      <c r="C25" s="8">
        <v>1.0</v>
      </c>
      <c r="D25" s="7">
        <v>2.0</v>
      </c>
      <c r="E25" s="8">
        <v>1.0</v>
      </c>
      <c r="F25" s="29">
        <v>2.0</v>
      </c>
      <c r="G25" s="7" t="s">
        <v>564</v>
      </c>
    </row>
    <row r="26">
      <c r="A26" s="7" t="s">
        <v>373</v>
      </c>
      <c r="B26" s="72">
        <f>IFERROR(VLOOKUP(A26, 'Current Decisions'!A:G, 7, FALSE), "")</f>
        <v>36.5</v>
      </c>
      <c r="C26" s="8">
        <v>1.0</v>
      </c>
      <c r="D26" s="7">
        <v>1.0</v>
      </c>
      <c r="E26" s="8">
        <v>0.0</v>
      </c>
      <c r="F26" s="7">
        <v>0.0</v>
      </c>
      <c r="G26" s="7" t="s">
        <v>564</v>
      </c>
    </row>
    <row r="27">
      <c r="A27" s="7" t="s">
        <v>393</v>
      </c>
      <c r="B27" s="72">
        <f>IFERROR(VLOOKUP(A27, 'Current Decisions'!A:G, 7, FALSE), "")</f>
        <v>36.2</v>
      </c>
      <c r="C27" s="8">
        <v>1.0</v>
      </c>
      <c r="D27" s="7">
        <v>1.0</v>
      </c>
      <c r="E27" s="7">
        <v>1.0</v>
      </c>
      <c r="F27" s="7">
        <v>1.0</v>
      </c>
      <c r="G27" s="7" t="s">
        <v>564</v>
      </c>
    </row>
    <row r="28">
      <c r="A28" s="7" t="s">
        <v>182</v>
      </c>
      <c r="B28" s="72">
        <f>IFERROR(VLOOKUP(A28, 'Current Decisions'!A:G, 7, FALSE), "")</f>
        <v>33.8</v>
      </c>
      <c r="C28" s="8">
        <v>2.0</v>
      </c>
      <c r="D28" s="72">
        <f t="shared" ref="D28:D31" si="7">C28</f>
        <v>2</v>
      </c>
      <c r="E28" s="8">
        <v>2.0</v>
      </c>
      <c r="F28" s="29">
        <f t="shared" ref="F28:F31" si="8">E28</f>
        <v>2</v>
      </c>
      <c r="G28" s="7" t="s">
        <v>564</v>
      </c>
    </row>
    <row r="29">
      <c r="A29" s="7" t="s">
        <v>101</v>
      </c>
      <c r="B29" s="72">
        <f>IFERROR(VLOOKUP(A29, 'Current Decisions'!A:G, 7, FALSE), "")</f>
        <v>33</v>
      </c>
      <c r="C29" s="8">
        <v>1.0</v>
      </c>
      <c r="D29" s="72">
        <f t="shared" si="7"/>
        <v>1</v>
      </c>
      <c r="E29" s="8">
        <v>1.0</v>
      </c>
      <c r="F29" s="29">
        <f t="shared" si="8"/>
        <v>1</v>
      </c>
      <c r="G29" s="7" t="s">
        <v>564</v>
      </c>
    </row>
    <row r="30">
      <c r="A30" s="7" t="s">
        <v>199</v>
      </c>
      <c r="B30" s="72">
        <f>IFERROR(VLOOKUP(A30, 'Current Decisions'!A:G, 7, FALSE), "")</f>
        <v>32.3</v>
      </c>
      <c r="C30" s="8">
        <v>1.0</v>
      </c>
      <c r="D30" s="72">
        <f t="shared" si="7"/>
        <v>1</v>
      </c>
      <c r="E30" s="8">
        <v>1.0</v>
      </c>
      <c r="F30" s="29">
        <f t="shared" si="8"/>
        <v>1</v>
      </c>
      <c r="G30" s="7" t="s">
        <v>564</v>
      </c>
    </row>
    <row r="31">
      <c r="A31" s="7" t="s">
        <v>81</v>
      </c>
      <c r="B31" s="72">
        <f>IFERROR(VLOOKUP(A31, 'Current Decisions'!A:G, 7, FALSE), "")</f>
        <v>31.2</v>
      </c>
      <c r="C31" s="8">
        <v>1.0</v>
      </c>
      <c r="D31" s="72">
        <f t="shared" si="7"/>
        <v>1</v>
      </c>
      <c r="E31" s="8">
        <v>1.0</v>
      </c>
      <c r="F31" s="29">
        <f t="shared" si="8"/>
        <v>1</v>
      </c>
      <c r="G31" s="7" t="s">
        <v>564</v>
      </c>
    </row>
    <row r="32">
      <c r="A32" s="30" t="s">
        <v>361</v>
      </c>
      <c r="B32" s="77">
        <f>IFERROR(VLOOKUP(A32, 'Current Decisions'!A:G, 7, FALSE), "")</f>
        <v>31</v>
      </c>
      <c r="C32" s="67">
        <v>1.0</v>
      </c>
      <c r="D32" s="30">
        <v>0.0</v>
      </c>
      <c r="E32" s="67">
        <v>1.0</v>
      </c>
      <c r="F32" s="30">
        <v>0.0</v>
      </c>
      <c r="G32" s="30" t="s">
        <v>565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>
      <c r="A33" s="7" t="s">
        <v>366</v>
      </c>
      <c r="B33" s="72">
        <f>IFERROR(VLOOKUP(A33, 'Current Decisions'!A:G, 7, FALSE), "")</f>
        <v>30.6</v>
      </c>
      <c r="C33" s="29">
        <v>1.0</v>
      </c>
      <c r="D33" s="29">
        <v>1.0</v>
      </c>
      <c r="E33" s="29">
        <v>0.0</v>
      </c>
      <c r="F33" s="29">
        <v>0.0</v>
      </c>
      <c r="G33" s="7" t="s">
        <v>564</v>
      </c>
    </row>
    <row r="34">
      <c r="A34" s="7" t="s">
        <v>109</v>
      </c>
      <c r="B34" s="72">
        <f>IFERROR(VLOOKUP(A34, 'Current Decisions'!A:G, 7, FALSE), "")</f>
        <v>30.5</v>
      </c>
      <c r="C34" s="8">
        <v>1.0</v>
      </c>
      <c r="D34" s="72">
        <f t="shared" ref="D34:D39" si="9">C34</f>
        <v>1</v>
      </c>
      <c r="E34" s="8">
        <v>1.0</v>
      </c>
      <c r="F34" s="29">
        <f t="shared" ref="F34:F39" si="10">E34</f>
        <v>1</v>
      </c>
      <c r="G34" s="7" t="s">
        <v>564</v>
      </c>
    </row>
    <row r="35">
      <c r="A35" s="7" t="s">
        <v>132</v>
      </c>
      <c r="B35" s="72">
        <f>IFERROR(VLOOKUP(A35, 'Current Decisions'!A:G, 7, FALSE), "")</f>
        <v>30.5</v>
      </c>
      <c r="C35" s="8">
        <v>1.0</v>
      </c>
      <c r="D35" s="72">
        <f t="shared" si="9"/>
        <v>1</v>
      </c>
      <c r="E35" s="8">
        <v>0.0</v>
      </c>
      <c r="F35" s="29">
        <f t="shared" si="10"/>
        <v>0</v>
      </c>
      <c r="G35" s="7" t="s">
        <v>564</v>
      </c>
      <c r="H35" s="77"/>
    </row>
    <row r="36">
      <c r="A36" s="7" t="s">
        <v>147</v>
      </c>
      <c r="B36" s="72">
        <f>IFERROR(VLOOKUP(A36, 'Current Decisions'!A:G, 7, FALSE), "")</f>
        <v>30.5</v>
      </c>
      <c r="C36" s="8">
        <v>1.0</v>
      </c>
      <c r="D36" s="72">
        <f t="shared" si="9"/>
        <v>1</v>
      </c>
      <c r="E36" s="8">
        <v>0.0</v>
      </c>
      <c r="F36" s="29">
        <f t="shared" si="10"/>
        <v>0</v>
      </c>
      <c r="G36" s="7" t="s">
        <v>564</v>
      </c>
    </row>
    <row r="37">
      <c r="A37" s="7" t="s">
        <v>36</v>
      </c>
      <c r="B37" s="72">
        <f>IFERROR(VLOOKUP(A37, 'Current Decisions'!A:G, 7, FALSE), "")</f>
        <v>29</v>
      </c>
      <c r="C37" s="8">
        <v>1.0</v>
      </c>
      <c r="D37" s="72">
        <f t="shared" si="9"/>
        <v>1</v>
      </c>
      <c r="E37" s="8">
        <v>0.0</v>
      </c>
      <c r="F37" s="29">
        <f t="shared" si="10"/>
        <v>0</v>
      </c>
      <c r="G37" s="7" t="s">
        <v>564</v>
      </c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>
      <c r="A38" s="7" t="s">
        <v>221</v>
      </c>
      <c r="B38" s="72">
        <f>IFERROR(VLOOKUP(A38, 'Current Decisions'!A:G, 7, FALSE), "")</f>
        <v>29</v>
      </c>
      <c r="C38" s="8">
        <v>1.0</v>
      </c>
      <c r="D38" s="72">
        <f t="shared" si="9"/>
        <v>1</v>
      </c>
      <c r="E38" s="8">
        <v>0.0</v>
      </c>
      <c r="F38" s="29">
        <f t="shared" si="10"/>
        <v>0</v>
      </c>
      <c r="G38" s="7" t="s">
        <v>564</v>
      </c>
      <c r="H38" s="131"/>
    </row>
    <row r="39">
      <c r="A39" s="7" t="s">
        <v>223</v>
      </c>
      <c r="B39" s="72">
        <f>IFERROR(VLOOKUP(A39, 'Current Decisions'!A:G, 7, FALSE), "")</f>
        <v>29</v>
      </c>
      <c r="C39" s="29">
        <v>1.0</v>
      </c>
      <c r="D39" s="72">
        <f t="shared" si="9"/>
        <v>1</v>
      </c>
      <c r="E39" s="29">
        <v>1.0</v>
      </c>
      <c r="F39" s="29">
        <f t="shared" si="10"/>
        <v>1</v>
      </c>
      <c r="G39" s="7" t="s">
        <v>564</v>
      </c>
      <c r="H39" s="29"/>
    </row>
    <row r="40">
      <c r="A40" s="30" t="s">
        <v>107</v>
      </c>
      <c r="B40" s="77">
        <f>IFERROR(VLOOKUP(A40, 'Current Decisions'!A:G, 7, FALSE), "")</f>
        <v>28.9</v>
      </c>
      <c r="C40" s="67">
        <v>0.0</v>
      </c>
      <c r="D40" s="30">
        <v>0.0</v>
      </c>
      <c r="E40" s="67">
        <v>1.0</v>
      </c>
      <c r="F40" s="30">
        <v>0.0</v>
      </c>
      <c r="G40" s="30" t="s">
        <v>565</v>
      </c>
      <c r="H40" s="30" t="s">
        <v>592</v>
      </c>
    </row>
    <row r="41">
      <c r="A41" s="140" t="s">
        <v>213</v>
      </c>
      <c r="B41" s="141">
        <f>IFERROR(VLOOKUP(A41, 'Current Decisions'!A:G, 7, FALSE), "")</f>
        <v>28.2</v>
      </c>
      <c r="C41" s="142">
        <v>0.0</v>
      </c>
      <c r="D41" s="7">
        <v>1.0</v>
      </c>
      <c r="E41" s="142">
        <v>1.0</v>
      </c>
      <c r="F41" s="29">
        <v>0.0</v>
      </c>
      <c r="G41" s="7" t="s">
        <v>564</v>
      </c>
    </row>
    <row r="42">
      <c r="A42" s="7" t="s">
        <v>248</v>
      </c>
      <c r="B42" s="72">
        <f>IFERROR(VLOOKUP(A42, 'Current Decisions'!A:G, 7, FALSE), "")</f>
        <v>28.2</v>
      </c>
      <c r="C42" s="29">
        <v>1.0</v>
      </c>
      <c r="D42" s="72">
        <f>C42</f>
        <v>1</v>
      </c>
      <c r="E42" s="29">
        <v>1.0</v>
      </c>
      <c r="F42" s="29">
        <f>E42</f>
        <v>1</v>
      </c>
      <c r="G42" s="7" t="s">
        <v>564</v>
      </c>
    </row>
    <row r="43">
      <c r="A43" s="7" t="s">
        <v>348</v>
      </c>
      <c r="B43" s="72">
        <f>IFERROR(VLOOKUP(A43, 'Current Decisions'!A:G, 7, FALSE), "")</f>
        <v>28.2</v>
      </c>
      <c r="C43" s="29">
        <v>0.0</v>
      </c>
      <c r="D43" s="29">
        <v>0.0</v>
      </c>
      <c r="E43" s="29">
        <v>1.0</v>
      </c>
      <c r="F43" s="29">
        <v>1.0</v>
      </c>
      <c r="G43" s="7" t="s">
        <v>564</v>
      </c>
    </row>
    <row r="44">
      <c r="A44" s="7" t="s">
        <v>389</v>
      </c>
      <c r="B44" s="72">
        <f>IFERROR(VLOOKUP(A44, 'Current Decisions'!A:G, 7, FALSE), "")</f>
        <v>28.2</v>
      </c>
      <c r="C44" s="8">
        <v>1.0</v>
      </c>
      <c r="D44" s="7">
        <v>1.0</v>
      </c>
      <c r="E44" s="8">
        <v>0.0</v>
      </c>
      <c r="F44" s="7">
        <v>0.0</v>
      </c>
      <c r="G44" s="7" t="s">
        <v>564</v>
      </c>
      <c r="H44" s="7" t="s">
        <v>593</v>
      </c>
    </row>
    <row r="45">
      <c r="A45" s="7" t="s">
        <v>26</v>
      </c>
      <c r="B45" s="72">
        <f>IFERROR(VLOOKUP(A45, 'Current Decisions'!A:G, 7, FALSE), "")</f>
        <v>27.5</v>
      </c>
      <c r="C45" s="8">
        <v>1.0</v>
      </c>
      <c r="D45" s="72">
        <f t="shared" ref="D45:D46" si="11">C45</f>
        <v>1</v>
      </c>
      <c r="E45" s="8">
        <v>1.0</v>
      </c>
      <c r="F45" s="29">
        <f t="shared" ref="F45:F46" si="12">E45</f>
        <v>1</v>
      </c>
      <c r="G45" s="7" t="s">
        <v>564</v>
      </c>
      <c r="I45" s="43"/>
      <c r="J45" s="43"/>
      <c r="K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>
      <c r="A46" s="7" t="s">
        <v>122</v>
      </c>
      <c r="B46" s="72">
        <f>IFERROR(VLOOKUP(A46, 'Current Decisions'!A:G, 7, FALSE), "")</f>
        <v>27.5</v>
      </c>
      <c r="C46" s="8">
        <v>2.0</v>
      </c>
      <c r="D46" s="72">
        <f t="shared" si="11"/>
        <v>2</v>
      </c>
      <c r="E46" s="8">
        <v>2.0</v>
      </c>
      <c r="F46" s="29">
        <f t="shared" si="12"/>
        <v>2</v>
      </c>
      <c r="G46" s="7" t="s">
        <v>564</v>
      </c>
    </row>
    <row r="47">
      <c r="A47" s="7" t="s">
        <v>381</v>
      </c>
      <c r="B47" s="72">
        <f>IFERROR(VLOOKUP(A47, 'Current Decisions'!A:G, 7, FALSE), "")</f>
        <v>27.5</v>
      </c>
      <c r="C47" s="7">
        <v>0.0</v>
      </c>
      <c r="D47" s="7">
        <v>0.0</v>
      </c>
      <c r="E47" s="8">
        <v>1.0</v>
      </c>
      <c r="F47" s="7">
        <v>1.0</v>
      </c>
      <c r="G47" s="7" t="s">
        <v>564</v>
      </c>
    </row>
    <row r="48">
      <c r="A48" s="7" t="s">
        <v>169</v>
      </c>
      <c r="B48" s="72">
        <f>IFERROR(VLOOKUP(A48, 'Current Decisions'!A:G, 7, FALSE), "")</f>
        <v>26.7</v>
      </c>
      <c r="C48" s="8">
        <v>1.0</v>
      </c>
      <c r="D48" s="72">
        <f>C48</f>
        <v>1</v>
      </c>
      <c r="E48" s="8">
        <v>0.0</v>
      </c>
      <c r="F48" s="29">
        <f>E48</f>
        <v>0</v>
      </c>
      <c r="G48" s="7" t="s">
        <v>564</v>
      </c>
    </row>
    <row r="49">
      <c r="A49" s="7" t="s">
        <v>308</v>
      </c>
      <c r="B49" s="72">
        <f>IFERROR(VLOOKUP(A49, 'Current Decisions'!A:G, 7, FALSE), "")</f>
        <v>26.7</v>
      </c>
      <c r="C49" s="8">
        <v>1.0</v>
      </c>
      <c r="D49" s="7">
        <v>1.0</v>
      </c>
      <c r="E49" s="8">
        <v>0.0</v>
      </c>
      <c r="F49" s="7">
        <v>0.0</v>
      </c>
      <c r="G49" s="7" t="s">
        <v>564</v>
      </c>
    </row>
    <row r="50">
      <c r="A50" s="7" t="s">
        <v>386</v>
      </c>
      <c r="B50" s="72">
        <f>IFERROR(VLOOKUP(A50, 'Current Decisions'!A:G, 7, FALSE), "")</f>
        <v>26.7</v>
      </c>
      <c r="C50" s="7">
        <v>0.0</v>
      </c>
      <c r="D50" s="7">
        <v>0.0</v>
      </c>
      <c r="E50" s="7">
        <v>1.0</v>
      </c>
      <c r="F50" s="7">
        <v>1.0</v>
      </c>
      <c r="G50" s="7" t="s">
        <v>564</v>
      </c>
    </row>
    <row r="51">
      <c r="A51" s="7" t="s">
        <v>306</v>
      </c>
      <c r="B51" s="72">
        <f>IFERROR(VLOOKUP(A51, 'Current Decisions'!A:G, 7, FALSE), "")</f>
        <v>26.3</v>
      </c>
      <c r="C51" s="29">
        <v>2.0</v>
      </c>
      <c r="D51" s="29">
        <v>2.0</v>
      </c>
      <c r="E51" s="29">
        <v>0.0</v>
      </c>
      <c r="F51" s="29">
        <v>0.0</v>
      </c>
      <c r="G51" s="7" t="s">
        <v>564</v>
      </c>
      <c r="H51" s="43"/>
    </row>
    <row r="52">
      <c r="A52" s="7" t="s">
        <v>47</v>
      </c>
      <c r="B52" s="72">
        <f>IFERROR(VLOOKUP(A52, 'Current Decisions'!A:G, 7, FALSE), "")</f>
        <v>26</v>
      </c>
      <c r="C52" s="8">
        <v>2.0</v>
      </c>
      <c r="D52" s="72">
        <f t="shared" ref="D52:D53" si="13">C52</f>
        <v>2</v>
      </c>
      <c r="E52" s="8">
        <v>2.0</v>
      </c>
      <c r="F52" s="29">
        <f t="shared" ref="F52:F53" si="14">E52</f>
        <v>2</v>
      </c>
      <c r="G52" s="7" t="s">
        <v>564</v>
      </c>
    </row>
    <row r="53">
      <c r="A53" s="7" t="s">
        <v>103</v>
      </c>
      <c r="B53" s="72">
        <f>IFERROR(VLOOKUP(A53, 'Current Decisions'!A:G, 7, FALSE), "")</f>
        <v>26</v>
      </c>
      <c r="C53" s="8">
        <v>1.0</v>
      </c>
      <c r="D53" s="72">
        <f t="shared" si="13"/>
        <v>1</v>
      </c>
      <c r="E53" s="8">
        <v>0.0</v>
      </c>
      <c r="F53" s="29">
        <f t="shared" si="14"/>
        <v>0</v>
      </c>
      <c r="G53" s="7" t="s">
        <v>564</v>
      </c>
    </row>
    <row r="54">
      <c r="A54" s="7" t="s">
        <v>349</v>
      </c>
      <c r="B54" s="72">
        <f>IFERROR(VLOOKUP(A54, 'Current Decisions'!A:G, 7, FALSE), "")</f>
        <v>25.5</v>
      </c>
      <c r="C54" s="29">
        <v>2.0</v>
      </c>
      <c r="D54" s="29">
        <v>2.0</v>
      </c>
      <c r="E54" s="29">
        <v>0.0</v>
      </c>
      <c r="F54" s="29">
        <v>0.0</v>
      </c>
      <c r="G54" s="7" t="s">
        <v>564</v>
      </c>
    </row>
    <row r="55">
      <c r="A55" s="7" t="s">
        <v>29</v>
      </c>
      <c r="B55" s="72">
        <f>IFERROR(VLOOKUP(A55, 'Current Decisions'!A:G, 7, FALSE), "")</f>
        <v>25.3</v>
      </c>
      <c r="C55" s="8">
        <v>1.0</v>
      </c>
      <c r="D55" s="72">
        <f t="shared" ref="D55:D58" si="15">C55</f>
        <v>1</v>
      </c>
      <c r="E55" s="8">
        <v>1.0</v>
      </c>
      <c r="F55" s="29">
        <f t="shared" ref="F55:F58" si="16">E55</f>
        <v>1</v>
      </c>
      <c r="G55" s="7" t="s">
        <v>564</v>
      </c>
    </row>
    <row r="56">
      <c r="A56" s="7" t="s">
        <v>99</v>
      </c>
      <c r="B56" s="72">
        <f>IFERROR(VLOOKUP(A56, 'Current Decisions'!A:G, 7, FALSE), "")</f>
        <v>25.3</v>
      </c>
      <c r="C56" s="8">
        <v>1.0</v>
      </c>
      <c r="D56" s="72">
        <f t="shared" si="15"/>
        <v>1</v>
      </c>
      <c r="E56" s="8">
        <v>0.0</v>
      </c>
      <c r="F56" s="29">
        <f t="shared" si="16"/>
        <v>0</v>
      </c>
      <c r="G56" s="7" t="s">
        <v>564</v>
      </c>
    </row>
    <row r="57">
      <c r="A57" s="7" t="s">
        <v>148</v>
      </c>
      <c r="B57" s="72">
        <f>IFERROR(VLOOKUP(A57, 'Current Decisions'!A:G, 7, FALSE), "")</f>
        <v>25.3</v>
      </c>
      <c r="C57" s="29">
        <v>1.0</v>
      </c>
      <c r="D57" s="72">
        <f t="shared" si="15"/>
        <v>1</v>
      </c>
      <c r="E57" s="29">
        <v>0.0</v>
      </c>
      <c r="F57" s="29">
        <f t="shared" si="16"/>
        <v>0</v>
      </c>
      <c r="G57" s="7" t="s">
        <v>564</v>
      </c>
    </row>
    <row r="58">
      <c r="A58" s="7" t="s">
        <v>173</v>
      </c>
      <c r="B58" s="8">
        <f>IFERROR(VLOOKUP(A58, 'Current Decisions'!A:G, 7, FALSE), "")</f>
        <v>25.3</v>
      </c>
      <c r="C58" s="7">
        <v>1.0</v>
      </c>
      <c r="D58" s="72">
        <f t="shared" si="15"/>
        <v>1</v>
      </c>
      <c r="E58" s="7">
        <v>0.0</v>
      </c>
      <c r="F58" s="29">
        <f t="shared" si="16"/>
        <v>0</v>
      </c>
      <c r="G58" s="7" t="s">
        <v>564</v>
      </c>
      <c r="I58" s="73"/>
    </row>
    <row r="59">
      <c r="A59" s="7" t="s">
        <v>301</v>
      </c>
      <c r="B59" s="72">
        <f>IFERROR(VLOOKUP(A59, 'Current Decisions'!A:G, 7, FALSE), "")</f>
        <v>25</v>
      </c>
      <c r="C59" s="29">
        <v>2.0</v>
      </c>
      <c r="D59" s="29">
        <v>2.0</v>
      </c>
      <c r="E59" s="29">
        <v>0.0</v>
      </c>
      <c r="F59" s="29">
        <v>0.0</v>
      </c>
      <c r="G59" s="7" t="s">
        <v>564</v>
      </c>
    </row>
    <row r="60">
      <c r="A60" s="7" t="s">
        <v>356</v>
      </c>
      <c r="B60" s="72">
        <f>IFERROR(VLOOKUP(A60, 'Current Decisions'!A:G, 7, FALSE), "")</f>
        <v>24.8</v>
      </c>
      <c r="C60" s="8">
        <v>1.0</v>
      </c>
      <c r="D60" s="7">
        <v>1.0</v>
      </c>
      <c r="E60" s="8">
        <v>0.0</v>
      </c>
      <c r="F60" s="7">
        <v>0.0</v>
      </c>
      <c r="G60" s="7" t="s">
        <v>564</v>
      </c>
    </row>
    <row r="61">
      <c r="A61" s="7" t="s">
        <v>19</v>
      </c>
      <c r="B61" s="72">
        <f>IFERROR(VLOOKUP(A61, 'Current Decisions'!A:G, 7, FALSE), "")</f>
        <v>24.7</v>
      </c>
      <c r="C61" s="8">
        <v>1.0</v>
      </c>
      <c r="D61" s="72">
        <f t="shared" ref="D61:D62" si="17">C61</f>
        <v>1</v>
      </c>
      <c r="E61" s="8">
        <v>0.0</v>
      </c>
      <c r="F61" s="29">
        <f>E61</f>
        <v>0</v>
      </c>
      <c r="G61" s="7" t="s">
        <v>564</v>
      </c>
    </row>
    <row r="62" ht="15.0" customHeight="1">
      <c r="A62" s="7" t="s">
        <v>63</v>
      </c>
      <c r="B62" s="72">
        <f>IFERROR(VLOOKUP(A62, 'Current Decisions'!A:G, 7, FALSE), "")</f>
        <v>24.7</v>
      </c>
      <c r="C62" s="8">
        <v>1.0</v>
      </c>
      <c r="D62" s="72">
        <f t="shared" si="17"/>
        <v>1</v>
      </c>
      <c r="E62" s="7">
        <v>0.0</v>
      </c>
      <c r="F62" s="29">
        <v>0.0</v>
      </c>
      <c r="G62" s="7" t="s">
        <v>564</v>
      </c>
    </row>
    <row r="63">
      <c r="A63" s="30" t="s">
        <v>33</v>
      </c>
      <c r="B63" s="77">
        <f>IFERROR(VLOOKUP(A63, 'Current Decisions'!A:G, 7, FALSE), "")</f>
        <v>24.5</v>
      </c>
      <c r="C63" s="67">
        <v>1.0</v>
      </c>
      <c r="D63" s="30">
        <v>0.0</v>
      </c>
      <c r="E63" s="67">
        <v>0.0</v>
      </c>
      <c r="F63" s="114">
        <f t="shared" ref="F63:F64" si="18">E63</f>
        <v>0</v>
      </c>
      <c r="G63" s="30" t="s">
        <v>565</v>
      </c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>
      <c r="A64" s="7" t="s">
        <v>108</v>
      </c>
      <c r="B64" s="72">
        <f>IFERROR(VLOOKUP(A64, 'Current Decisions'!A:G, 7, FALSE), "")</f>
        <v>24.5</v>
      </c>
      <c r="C64" s="8">
        <v>1.0</v>
      </c>
      <c r="D64" s="72">
        <f>C64</f>
        <v>1</v>
      </c>
      <c r="E64" s="8">
        <v>1.0</v>
      </c>
      <c r="F64" s="29">
        <f t="shared" si="18"/>
        <v>1</v>
      </c>
      <c r="G64" s="7" t="s">
        <v>564</v>
      </c>
    </row>
    <row r="65">
      <c r="A65" s="7" t="s">
        <v>155</v>
      </c>
      <c r="B65" s="72">
        <f>IFERROR(VLOOKUP(A65, 'Current Decisions'!A:G, 7, FALSE), "")</f>
        <v>24.5</v>
      </c>
      <c r="C65" s="29">
        <v>1.0</v>
      </c>
      <c r="D65" s="7">
        <v>1.0</v>
      </c>
      <c r="E65" s="29">
        <v>0.0</v>
      </c>
      <c r="F65" s="29">
        <v>0.0</v>
      </c>
      <c r="G65" s="7" t="s">
        <v>564</v>
      </c>
    </row>
    <row r="66">
      <c r="A66" s="7" t="s">
        <v>24</v>
      </c>
      <c r="B66" s="72">
        <f>IFERROR(VLOOKUP(A66, 'Current Decisions'!A:G, 7, FALSE), "")</f>
        <v>23.8</v>
      </c>
      <c r="C66" s="29">
        <v>1.0</v>
      </c>
      <c r="D66" s="7">
        <v>0.0</v>
      </c>
      <c r="E66" s="29">
        <v>1.0</v>
      </c>
      <c r="F66" s="29">
        <v>0.0</v>
      </c>
      <c r="G66" s="7" t="s">
        <v>577</v>
      </c>
    </row>
    <row r="67">
      <c r="A67" s="7" t="s">
        <v>158</v>
      </c>
      <c r="B67" s="72">
        <f>IFERROR(VLOOKUP(A67, 'Current Decisions'!A:G, 7, FALSE), "")</f>
        <v>23.8</v>
      </c>
      <c r="C67" s="8">
        <v>1.0</v>
      </c>
      <c r="D67" s="72">
        <f>C67</f>
        <v>1</v>
      </c>
      <c r="E67" s="8">
        <v>1.0</v>
      </c>
      <c r="F67" s="29">
        <f>E67</f>
        <v>1</v>
      </c>
      <c r="G67" s="7" t="s">
        <v>564</v>
      </c>
    </row>
    <row r="68">
      <c r="A68" s="7" t="s">
        <v>375</v>
      </c>
      <c r="B68" s="72">
        <f>IFERROR(VLOOKUP(A68, 'Current Decisions'!A:G, 7, FALSE), "")</f>
        <v>23.2</v>
      </c>
      <c r="C68" s="8">
        <v>0.0</v>
      </c>
      <c r="D68" s="7">
        <v>0.0</v>
      </c>
      <c r="E68" s="8">
        <v>1.0</v>
      </c>
      <c r="F68" s="7">
        <v>1.0</v>
      </c>
      <c r="G68" s="7" t="s">
        <v>564</v>
      </c>
    </row>
    <row r="69">
      <c r="A69" s="7" t="s">
        <v>48</v>
      </c>
      <c r="B69" s="72">
        <f>IFERROR(VLOOKUP(A69, 'Current Decisions'!A:G, 7, FALSE), "")</f>
        <v>22.2</v>
      </c>
      <c r="C69" s="8">
        <v>0.0</v>
      </c>
      <c r="D69" s="72">
        <f t="shared" ref="D69:D70" si="19">C69</f>
        <v>0</v>
      </c>
      <c r="E69" s="8">
        <v>1.0</v>
      </c>
      <c r="F69" s="29">
        <f t="shared" ref="F69:F70" si="20">E69</f>
        <v>1</v>
      </c>
      <c r="G69" s="7" t="s">
        <v>564</v>
      </c>
    </row>
    <row r="70">
      <c r="A70" s="7" t="s">
        <v>119</v>
      </c>
      <c r="B70" s="72">
        <f>IFERROR(VLOOKUP(A70, 'Current Decisions'!A:G, 7, FALSE), "")</f>
        <v>21.5</v>
      </c>
      <c r="C70" s="8">
        <v>1.0</v>
      </c>
      <c r="D70" s="72">
        <f t="shared" si="19"/>
        <v>1</v>
      </c>
      <c r="E70" s="8">
        <v>0.0</v>
      </c>
      <c r="F70" s="29">
        <f t="shared" si="20"/>
        <v>0</v>
      </c>
      <c r="G70" s="7" t="s">
        <v>564</v>
      </c>
    </row>
    <row r="71">
      <c r="A71" s="7" t="s">
        <v>407</v>
      </c>
      <c r="B71" s="72">
        <f>IFERROR(VLOOKUP(A71, 'Current Decisions'!A:G, 7, FALSE), "")</f>
        <v>21.3</v>
      </c>
      <c r="C71" s="8">
        <v>1.0</v>
      </c>
      <c r="D71" s="7">
        <v>1.0</v>
      </c>
      <c r="E71" s="8">
        <v>1.0</v>
      </c>
      <c r="F71" s="7">
        <v>1.0</v>
      </c>
      <c r="G71" s="7" t="s">
        <v>564</v>
      </c>
    </row>
    <row r="72">
      <c r="A72" s="7" t="s">
        <v>354</v>
      </c>
      <c r="B72" s="72">
        <f>IFERROR(VLOOKUP(A72, 'Current Decisions'!A:G, 7, FALSE), "")</f>
        <v>20.5</v>
      </c>
      <c r="C72" s="29">
        <v>2.0</v>
      </c>
      <c r="D72" s="29">
        <v>2.0</v>
      </c>
      <c r="E72" s="29">
        <v>0.0</v>
      </c>
      <c r="F72" s="29">
        <v>0.0</v>
      </c>
      <c r="G72" s="29" t="s">
        <v>564</v>
      </c>
      <c r="H72" s="29"/>
    </row>
    <row r="73">
      <c r="A73" s="7" t="s">
        <v>120</v>
      </c>
      <c r="B73" s="72">
        <f>IFERROR(VLOOKUP(A73, 'Current Decisions'!A:G, 7, FALSE), "")</f>
        <v>20.3</v>
      </c>
      <c r="C73" s="29">
        <v>1.0</v>
      </c>
      <c r="D73" s="72">
        <f t="shared" ref="D73:D77" si="21">C73</f>
        <v>1</v>
      </c>
      <c r="E73" s="29">
        <v>0.0</v>
      </c>
      <c r="F73" s="29">
        <f t="shared" ref="F73:F77" si="22">E73</f>
        <v>0</v>
      </c>
      <c r="G73" s="7" t="s">
        <v>564</v>
      </c>
    </row>
    <row r="74">
      <c r="A74" s="7" t="s">
        <v>116</v>
      </c>
      <c r="B74" s="72">
        <f>IFERROR(VLOOKUP(A74, 'Current Decisions'!A:G, 7, FALSE), "")</f>
        <v>20.1</v>
      </c>
      <c r="C74" s="8">
        <v>1.0</v>
      </c>
      <c r="D74" s="72">
        <f t="shared" si="21"/>
        <v>1</v>
      </c>
      <c r="E74" s="8">
        <v>0.0</v>
      </c>
      <c r="F74" s="29">
        <f t="shared" si="22"/>
        <v>0</v>
      </c>
      <c r="G74" s="7" t="s">
        <v>564</v>
      </c>
      <c r="H74" s="29"/>
    </row>
    <row r="75">
      <c r="A75" s="7" t="s">
        <v>35</v>
      </c>
      <c r="B75" s="72">
        <f>IFERROR(VLOOKUP(A75, 'Current Decisions'!A:G, 7, FALSE), "")</f>
        <v>20</v>
      </c>
      <c r="C75" s="8">
        <v>1.0</v>
      </c>
      <c r="D75" s="72">
        <f t="shared" si="21"/>
        <v>1</v>
      </c>
      <c r="E75" s="8">
        <v>1.0</v>
      </c>
      <c r="F75" s="29">
        <f t="shared" si="22"/>
        <v>1</v>
      </c>
      <c r="G75" s="7" t="s">
        <v>564</v>
      </c>
    </row>
    <row r="76">
      <c r="A76" s="7" t="s">
        <v>49</v>
      </c>
      <c r="B76" s="72">
        <f>IFERROR(VLOOKUP(A76, 'Current Decisions'!A:G, 7, FALSE), "")</f>
        <v>20</v>
      </c>
      <c r="C76" s="8">
        <v>1.0</v>
      </c>
      <c r="D76" s="72">
        <f t="shared" si="21"/>
        <v>1</v>
      </c>
      <c r="E76" s="8">
        <v>1.0</v>
      </c>
      <c r="F76" s="29">
        <f t="shared" si="22"/>
        <v>1</v>
      </c>
      <c r="G76" s="7" t="s">
        <v>564</v>
      </c>
    </row>
    <row r="77">
      <c r="A77" s="7" t="s">
        <v>256</v>
      </c>
      <c r="B77" s="72">
        <f>IFERROR(VLOOKUP(A77, 'Current Decisions'!A:G, 7, FALSE), "")</f>
        <v>20</v>
      </c>
      <c r="C77" s="8">
        <v>1.0</v>
      </c>
      <c r="D77" s="72">
        <f t="shared" si="21"/>
        <v>1</v>
      </c>
      <c r="E77" s="8">
        <v>1.0</v>
      </c>
      <c r="F77" s="29">
        <f t="shared" si="22"/>
        <v>1</v>
      </c>
      <c r="G77" s="7" t="s">
        <v>564</v>
      </c>
    </row>
    <row r="78">
      <c r="A78" s="7" t="s">
        <v>351</v>
      </c>
      <c r="B78" s="72">
        <f>IFERROR(VLOOKUP(A78, 'Current Decisions'!A:G, 7, FALSE), "")</f>
        <v>19.5</v>
      </c>
      <c r="C78" s="29">
        <v>1.0</v>
      </c>
      <c r="D78" s="29">
        <v>1.0</v>
      </c>
      <c r="E78" s="29">
        <v>1.0</v>
      </c>
      <c r="F78" s="29">
        <v>1.0</v>
      </c>
      <c r="G78" s="7" t="s">
        <v>564</v>
      </c>
    </row>
    <row r="79">
      <c r="A79" s="7" t="s">
        <v>60</v>
      </c>
      <c r="B79" s="72">
        <f>IFERROR(VLOOKUP(A79, 'Current Decisions'!A:G, 7, FALSE), "")</f>
        <v>18.9</v>
      </c>
      <c r="C79" s="8">
        <v>2.0</v>
      </c>
      <c r="D79" s="72">
        <f>C79</f>
        <v>2</v>
      </c>
      <c r="E79" s="8">
        <v>0.0</v>
      </c>
      <c r="F79" s="29">
        <f>E79</f>
        <v>0</v>
      </c>
      <c r="G79" s="7" t="s">
        <v>564</v>
      </c>
    </row>
    <row r="80">
      <c r="A80" s="7" t="s">
        <v>262</v>
      </c>
      <c r="B80" s="72">
        <f>IFERROR(VLOOKUP(A80, 'Current Decisions'!A:G, 7, FALSE), "")</f>
        <v>18.4</v>
      </c>
      <c r="C80" s="29">
        <v>1.0</v>
      </c>
      <c r="D80" s="7">
        <v>1.0</v>
      </c>
      <c r="E80" s="29">
        <v>0.0</v>
      </c>
      <c r="F80" s="29">
        <v>0.0</v>
      </c>
      <c r="G80" s="7" t="s">
        <v>564</v>
      </c>
    </row>
    <row r="81">
      <c r="A81" s="7" t="s">
        <v>405</v>
      </c>
      <c r="B81" s="72">
        <f>IFERROR(VLOOKUP(A81, 'Current Decisions'!A:G, 7, FALSE), "")</f>
        <v>17.4</v>
      </c>
      <c r="C81" s="7">
        <v>0.0</v>
      </c>
      <c r="D81" s="7">
        <v>0.0</v>
      </c>
      <c r="E81" s="7">
        <v>1.0</v>
      </c>
      <c r="F81" s="7">
        <v>1.0</v>
      </c>
      <c r="G81" s="7" t="s">
        <v>573</v>
      </c>
    </row>
    <row r="82">
      <c r="A82" s="7" t="s">
        <v>222</v>
      </c>
      <c r="B82" s="72">
        <f>IFERROR(VLOOKUP(A82, 'Current Decisions'!A:G, 7, FALSE), "")</f>
        <v>17.2</v>
      </c>
      <c r="C82" s="8">
        <v>1.0</v>
      </c>
      <c r="D82" s="7">
        <v>1.0</v>
      </c>
      <c r="E82" s="8">
        <v>0.0</v>
      </c>
      <c r="F82" s="29">
        <v>0.0</v>
      </c>
      <c r="G82" s="7" t="s">
        <v>564</v>
      </c>
    </row>
    <row r="83">
      <c r="A83" s="7" t="s">
        <v>193</v>
      </c>
      <c r="B83" s="72">
        <f>IFERROR(VLOOKUP(A83, 'Current Decisions'!A:G, 7, FALSE), "")</f>
        <v>16.8</v>
      </c>
      <c r="C83" s="29">
        <v>3.0</v>
      </c>
      <c r="D83" s="72">
        <f>C83</f>
        <v>3</v>
      </c>
      <c r="E83" s="29">
        <v>3.0</v>
      </c>
      <c r="F83" s="29">
        <f>E83</f>
        <v>3</v>
      </c>
      <c r="G83" s="7" t="s">
        <v>564</v>
      </c>
    </row>
    <row r="84">
      <c r="A84" s="7" t="s">
        <v>318</v>
      </c>
      <c r="B84" s="72">
        <f>IFERROR(VLOOKUP(A84, 'Current Decisions'!A:G, 7, FALSE), "")</f>
        <v>16.45</v>
      </c>
      <c r="C84" s="8">
        <v>0.0</v>
      </c>
      <c r="D84" s="7">
        <v>0.0</v>
      </c>
      <c r="E84" s="8">
        <v>1.0</v>
      </c>
      <c r="F84" s="7">
        <v>1.0</v>
      </c>
      <c r="G84" s="7" t="s">
        <v>564</v>
      </c>
    </row>
    <row r="85">
      <c r="A85" s="143" t="s">
        <v>198</v>
      </c>
      <c r="B85" s="143">
        <f>IFERROR(VLOOKUP(A85, 'Current Decisions'!A:G, 7, FALSE), "")</f>
        <v>15</v>
      </c>
      <c r="C85" s="143">
        <v>0.0</v>
      </c>
      <c r="D85" s="143">
        <v>0.0</v>
      </c>
      <c r="E85" s="143">
        <v>1.0</v>
      </c>
      <c r="F85" s="143">
        <v>1.0</v>
      </c>
      <c r="G85" s="143" t="s">
        <v>564</v>
      </c>
    </row>
    <row r="86">
      <c r="A86" s="7" t="s">
        <v>378</v>
      </c>
      <c r="B86" s="72">
        <f>IFERROR(VLOOKUP(A86, 'Current Decisions'!A:G, 7, FALSE), "")</f>
        <v>15</v>
      </c>
      <c r="C86" s="29">
        <v>0.0</v>
      </c>
      <c r="D86" s="29">
        <v>0.0</v>
      </c>
      <c r="E86" s="29">
        <v>1.0</v>
      </c>
      <c r="F86" s="29">
        <v>1.0</v>
      </c>
      <c r="G86" s="7" t="s">
        <v>564</v>
      </c>
    </row>
    <row r="87">
      <c r="A87" s="7" t="s">
        <v>385</v>
      </c>
      <c r="B87" s="72">
        <f>IFERROR(VLOOKUP(A87, 'Current Decisions'!A:G, 7, FALSE), "")</f>
        <v>15</v>
      </c>
      <c r="C87" s="8">
        <v>0.0</v>
      </c>
      <c r="D87" s="7">
        <v>0.0</v>
      </c>
      <c r="E87" s="8">
        <v>1.0</v>
      </c>
      <c r="F87" s="7">
        <v>1.0</v>
      </c>
      <c r="G87" s="7" t="s">
        <v>564</v>
      </c>
    </row>
    <row r="88">
      <c r="A88" s="7" t="s">
        <v>338</v>
      </c>
      <c r="B88" s="72">
        <f>IFERROR(VLOOKUP(A88, 'Current Decisions'!A:G, 7, FALSE), "")</f>
        <v>14.8</v>
      </c>
      <c r="C88" s="7">
        <v>1.0</v>
      </c>
      <c r="D88" s="7">
        <v>1.0</v>
      </c>
      <c r="E88" s="7">
        <v>0.0</v>
      </c>
      <c r="F88" s="7">
        <v>0.0</v>
      </c>
      <c r="G88" s="7" t="s">
        <v>564</v>
      </c>
    </row>
    <row r="89">
      <c r="A89" s="7" t="s">
        <v>398</v>
      </c>
      <c r="B89" s="72">
        <f>IFERROR(VLOOKUP(A89, 'Current Decisions'!A:G, 7, FALSE), "")</f>
        <v>12.2</v>
      </c>
      <c r="C89" s="8">
        <v>0.0</v>
      </c>
      <c r="D89" s="7">
        <v>0.0</v>
      </c>
      <c r="E89" s="8">
        <v>1.0</v>
      </c>
      <c r="F89" s="7">
        <v>1.0</v>
      </c>
      <c r="G89" s="7" t="s">
        <v>564</v>
      </c>
    </row>
    <row r="90">
      <c r="A90" s="7" t="s">
        <v>113</v>
      </c>
      <c r="B90" s="72">
        <f>IFERROR(VLOOKUP(A90, 'Current Decisions'!A:G, 7, FALSE), "")</f>
        <v>11</v>
      </c>
      <c r="C90" s="8">
        <v>1.0</v>
      </c>
      <c r="D90" s="7">
        <v>0.0</v>
      </c>
      <c r="E90" s="8">
        <v>1.0</v>
      </c>
      <c r="F90" s="29">
        <v>1.0</v>
      </c>
      <c r="G90" s="7" t="s">
        <v>564</v>
      </c>
      <c r="H90" s="7" t="s">
        <v>594</v>
      </c>
    </row>
    <row r="91">
      <c r="A91" s="7" t="s">
        <v>379</v>
      </c>
      <c r="B91" s="72">
        <f>IFERROR(VLOOKUP(A91, 'Current Decisions'!A:G, 7, FALSE), "")</f>
        <v>11</v>
      </c>
      <c r="C91" s="8">
        <v>3.0</v>
      </c>
      <c r="D91" s="7">
        <v>3.0</v>
      </c>
      <c r="E91" s="8">
        <v>3.0</v>
      </c>
      <c r="F91" s="7">
        <v>3.0</v>
      </c>
      <c r="G91" s="7" t="s">
        <v>564</v>
      </c>
    </row>
    <row r="92">
      <c r="A92" s="7" t="s">
        <v>90</v>
      </c>
      <c r="B92" s="72">
        <f>IFERROR(VLOOKUP(A92, 'Current Decisions'!A:G, 7, FALSE), "")</f>
        <v>10.5</v>
      </c>
      <c r="C92" s="8">
        <v>0.0</v>
      </c>
      <c r="D92" s="7">
        <v>0.0</v>
      </c>
      <c r="E92" s="8">
        <v>1.0</v>
      </c>
      <c r="F92" s="29">
        <v>1.0</v>
      </c>
      <c r="G92" s="7" t="s">
        <v>564</v>
      </c>
    </row>
    <row r="93">
      <c r="A93" s="7" t="s">
        <v>37</v>
      </c>
      <c r="B93" s="72">
        <f>IFERROR(VLOOKUP(A93, 'Current Decisions'!A:G, 7, FALSE), "")</f>
        <v>9.5</v>
      </c>
      <c r="C93" s="8">
        <v>1.0</v>
      </c>
      <c r="D93" s="7">
        <v>1.0</v>
      </c>
      <c r="E93" s="8">
        <v>1.0</v>
      </c>
      <c r="F93" s="29">
        <v>1.0</v>
      </c>
      <c r="G93" s="144" t="s">
        <v>564</v>
      </c>
    </row>
    <row r="94">
      <c r="A94" s="7" t="s">
        <v>163</v>
      </c>
      <c r="B94" s="72">
        <f>IFERROR(VLOOKUP(A94, 'Current Decisions'!A:G, 7, FALSE), "")</f>
        <v>9.5</v>
      </c>
      <c r="C94" s="8">
        <v>1.0</v>
      </c>
      <c r="D94" s="7">
        <v>0.0</v>
      </c>
      <c r="E94" s="8">
        <v>0.0</v>
      </c>
      <c r="F94" s="29">
        <v>1.0</v>
      </c>
      <c r="G94" s="7" t="s">
        <v>573</v>
      </c>
    </row>
    <row r="95">
      <c r="A95" s="7" t="s">
        <v>42</v>
      </c>
      <c r="B95" s="72">
        <f>IFERROR(VLOOKUP(A95, 'Current Decisions'!A:G, 7, FALSE), "")</f>
        <v>8.8</v>
      </c>
      <c r="C95" s="8">
        <v>0.0</v>
      </c>
      <c r="D95" s="7">
        <v>0.0</v>
      </c>
      <c r="E95" s="8">
        <v>1.0</v>
      </c>
      <c r="F95" s="29">
        <v>1.0</v>
      </c>
      <c r="G95" s="7" t="s">
        <v>564</v>
      </c>
    </row>
    <row r="96">
      <c r="A96" s="7" t="s">
        <v>395</v>
      </c>
      <c r="B96" s="72">
        <f>IFERROR(VLOOKUP(A96, 'Current Decisions'!A:G, 7, FALSE), "")</f>
        <v>8.2</v>
      </c>
      <c r="C96" s="7">
        <v>0.0</v>
      </c>
      <c r="D96" s="7">
        <v>0.0</v>
      </c>
      <c r="E96" s="7">
        <v>1.0</v>
      </c>
      <c r="F96" s="7">
        <v>1.0</v>
      </c>
      <c r="G96" s="7" t="s">
        <v>573</v>
      </c>
    </row>
    <row r="97">
      <c r="A97" s="30" t="s">
        <v>83</v>
      </c>
      <c r="B97" s="114">
        <f>IFERROR(VLOOKUP(A97, 'Current Decisions'!A:G, 7, FALSE), "")</f>
        <v>8</v>
      </c>
      <c r="C97" s="114">
        <v>1.0</v>
      </c>
      <c r="D97" s="77"/>
      <c r="E97" s="114">
        <v>0.0</v>
      </c>
      <c r="F97" s="114"/>
      <c r="G97" s="30" t="s">
        <v>565</v>
      </c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>
      <c r="A98" s="7" t="s">
        <v>181</v>
      </c>
      <c r="B98" s="72">
        <f>IFERROR(VLOOKUP(A98, 'Current Decisions'!A:G, 7, FALSE), "")</f>
        <v>7.2</v>
      </c>
      <c r="C98" s="8">
        <v>1.0</v>
      </c>
      <c r="D98" s="7">
        <v>1.0</v>
      </c>
      <c r="E98" s="8">
        <v>1.0</v>
      </c>
      <c r="F98" s="29">
        <v>1.0</v>
      </c>
      <c r="G98" s="7" t="s">
        <v>564</v>
      </c>
    </row>
    <row r="99">
      <c r="A99" s="7" t="s">
        <v>85</v>
      </c>
      <c r="B99" s="72">
        <f>IFERROR(VLOOKUP(A99, 'Current Decisions'!A:G, 7, FALSE), "")</f>
        <v>5</v>
      </c>
      <c r="C99" s="7">
        <v>0.0</v>
      </c>
      <c r="D99" s="7">
        <v>0.0</v>
      </c>
      <c r="E99" s="7">
        <v>1.0</v>
      </c>
      <c r="F99" s="29">
        <v>1.0</v>
      </c>
      <c r="G99" s="7" t="s">
        <v>564</v>
      </c>
    </row>
    <row r="100">
      <c r="A100" s="30" t="s">
        <v>206</v>
      </c>
      <c r="B100" s="77">
        <f>IFERROR(VLOOKUP(A100, 'Current Decisions'!A:G, 7, FALSE), "")</f>
        <v>4.5</v>
      </c>
      <c r="C100" s="30">
        <v>0.0</v>
      </c>
      <c r="D100" s="30">
        <v>0.0</v>
      </c>
      <c r="E100" s="30">
        <v>1.0</v>
      </c>
      <c r="F100" s="114">
        <v>0.0</v>
      </c>
      <c r="G100" s="30" t="s">
        <v>565</v>
      </c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>
      <c r="A101" s="7" t="s">
        <v>387</v>
      </c>
      <c r="B101" s="72">
        <f>IFERROR(VLOOKUP(A101, 'Current Decisions'!A:G, 7, FALSE), "")</f>
        <v>3</v>
      </c>
      <c r="C101" s="8">
        <v>1.0</v>
      </c>
      <c r="D101" s="7">
        <v>0.0</v>
      </c>
      <c r="E101" s="8">
        <v>1.0</v>
      </c>
      <c r="F101" s="7">
        <v>1.0</v>
      </c>
      <c r="G101" s="7" t="s">
        <v>564</v>
      </c>
      <c r="H101" s="7" t="s">
        <v>594</v>
      </c>
    </row>
    <row r="102">
      <c r="A102" s="7" t="s">
        <v>27</v>
      </c>
      <c r="B102" s="72">
        <f>IFERROR(VLOOKUP(A102, 'Current Decisions'!A:G, 7, FALSE), "")</f>
        <v>0</v>
      </c>
      <c r="C102" s="29">
        <v>0.0</v>
      </c>
      <c r="D102" s="7">
        <v>0.0</v>
      </c>
      <c r="E102" s="29">
        <v>1.0</v>
      </c>
      <c r="F102" s="29">
        <v>1.0</v>
      </c>
      <c r="G102" s="7" t="s">
        <v>564</v>
      </c>
    </row>
    <row r="103">
      <c r="A103" s="7" t="s">
        <v>39</v>
      </c>
      <c r="B103" s="72">
        <f>IFERROR(VLOOKUP(A103, 'Current Decisions'!A:G, 7, FALSE), "")</f>
        <v>0</v>
      </c>
      <c r="C103" s="8">
        <v>0.0</v>
      </c>
      <c r="D103" s="7">
        <v>0.0</v>
      </c>
      <c r="E103" s="8">
        <v>1.0</v>
      </c>
      <c r="F103" s="29">
        <v>1.0</v>
      </c>
      <c r="G103" s="7" t="s">
        <v>564</v>
      </c>
    </row>
    <row r="104">
      <c r="A104" s="7" t="s">
        <v>57</v>
      </c>
      <c r="B104" s="72">
        <f>IFERROR(VLOOKUP(A104, 'Current Decisions'!A:G, 7, FALSE), "")</f>
        <v>0</v>
      </c>
      <c r="C104" s="8">
        <v>1.0</v>
      </c>
      <c r="D104" s="7">
        <v>1.0</v>
      </c>
      <c r="E104" s="8">
        <v>0.0</v>
      </c>
      <c r="F104" s="29">
        <v>0.0</v>
      </c>
      <c r="G104" s="7" t="s">
        <v>564</v>
      </c>
      <c r="H104" s="7"/>
    </row>
    <row r="105">
      <c r="A105" s="7" t="s">
        <v>414</v>
      </c>
      <c r="B105" s="72">
        <f>IFERROR(VLOOKUP(A105, 'Current Decisions'!A:G, 7, FALSE), "")</f>
        <v>18.6</v>
      </c>
      <c r="C105" s="8">
        <v>1.0</v>
      </c>
      <c r="D105" s="7">
        <v>1.0</v>
      </c>
      <c r="E105" s="8">
        <v>0.0</v>
      </c>
      <c r="F105" s="7">
        <v>0.0</v>
      </c>
      <c r="G105" s="7" t="s">
        <v>564</v>
      </c>
    </row>
    <row r="106">
      <c r="A106" s="7" t="s">
        <v>417</v>
      </c>
      <c r="B106" s="72">
        <f>IFERROR(VLOOKUP(A106, 'Current Decisions'!A:G, 7, FALSE), "")</f>
        <v>20</v>
      </c>
      <c r="C106" s="8">
        <v>1.0</v>
      </c>
      <c r="D106" s="7">
        <v>0.0</v>
      </c>
      <c r="E106" s="8">
        <v>1.0</v>
      </c>
      <c r="F106" s="7">
        <v>1.0</v>
      </c>
      <c r="G106" s="7" t="s">
        <v>573</v>
      </c>
      <c r="H106" s="7"/>
    </row>
    <row r="107">
      <c r="A107" s="7" t="s">
        <v>422</v>
      </c>
      <c r="B107" s="72">
        <f>IFERROR(VLOOKUP(A107, 'Current Decisions'!A:G, 7, FALSE), "")</f>
        <v>37.8</v>
      </c>
      <c r="C107" s="7">
        <v>0.0</v>
      </c>
      <c r="D107" s="7">
        <v>0.0</v>
      </c>
      <c r="E107" s="7">
        <v>1.0</v>
      </c>
      <c r="F107" s="7">
        <v>1.0</v>
      </c>
      <c r="G107" s="7" t="s">
        <v>573</v>
      </c>
    </row>
    <row r="108">
      <c r="A108" s="7" t="s">
        <v>426</v>
      </c>
      <c r="B108" s="72">
        <f>IFERROR(VLOOKUP(A108, 'Current Decisions'!A:G, 7, FALSE), "")</f>
        <v>40</v>
      </c>
      <c r="C108" s="8">
        <v>1.0</v>
      </c>
      <c r="D108" s="7">
        <v>1.0</v>
      </c>
      <c r="E108" s="8">
        <v>1.0</v>
      </c>
      <c r="F108" s="7">
        <v>1.0</v>
      </c>
      <c r="G108" s="7" t="s">
        <v>564</v>
      </c>
    </row>
    <row r="109">
      <c r="A109" s="7" t="s">
        <v>431</v>
      </c>
      <c r="B109" s="72">
        <f>IFERROR(VLOOKUP(A109, 'Current Decisions'!A:G, 7, FALSE), "")</f>
        <v>19.4</v>
      </c>
      <c r="C109" s="8">
        <v>3.0</v>
      </c>
      <c r="D109" s="7">
        <v>2.0</v>
      </c>
      <c r="E109" s="8">
        <v>3.0</v>
      </c>
      <c r="F109" s="7">
        <v>2.0</v>
      </c>
      <c r="G109" s="7" t="s">
        <v>564</v>
      </c>
    </row>
    <row r="110">
      <c r="A110" s="7" t="s">
        <v>436</v>
      </c>
      <c r="B110" s="72">
        <f>IFERROR(VLOOKUP(A110, 'Current Decisions'!A:G, 7, FALSE), "")</f>
        <v>45.3</v>
      </c>
      <c r="C110" s="8">
        <v>0.0</v>
      </c>
      <c r="D110" s="7">
        <v>0.0</v>
      </c>
      <c r="E110" s="8">
        <v>1.0</v>
      </c>
      <c r="F110" s="7">
        <v>1.0</v>
      </c>
      <c r="G110" s="7" t="s">
        <v>564</v>
      </c>
    </row>
    <row r="111">
      <c r="A111" s="7" t="s">
        <v>439</v>
      </c>
      <c r="B111" s="72">
        <f>IFERROR(VLOOKUP(A111, 'Current Decisions'!A:G, 7, FALSE), "")</f>
        <v>33.3</v>
      </c>
      <c r="C111" s="8">
        <v>1.0</v>
      </c>
      <c r="D111" s="7">
        <v>0.0</v>
      </c>
      <c r="E111" s="8">
        <v>1.0</v>
      </c>
      <c r="F111" s="7">
        <v>1.0</v>
      </c>
      <c r="G111" s="7" t="s">
        <v>573</v>
      </c>
    </row>
    <row r="112">
      <c r="A112" s="7" t="s">
        <v>440</v>
      </c>
      <c r="B112" s="72">
        <f>IFERROR(VLOOKUP(A112, 'Current Decisions'!A:G, 7, FALSE), "")</f>
        <v>40.3</v>
      </c>
      <c r="C112" s="8">
        <v>1.0</v>
      </c>
      <c r="D112" s="7">
        <v>1.0</v>
      </c>
      <c r="E112" s="8">
        <v>0.0</v>
      </c>
      <c r="F112" s="7">
        <v>0.0</v>
      </c>
      <c r="G112" s="7" t="s">
        <v>564</v>
      </c>
      <c r="H112" s="7" t="s">
        <v>572</v>
      </c>
    </row>
    <row r="113">
      <c r="A113" s="7" t="s">
        <v>442</v>
      </c>
      <c r="B113" s="72">
        <f>IFERROR(VLOOKUP(A113, 'Current Decisions'!A:G, 7, FALSE), "")</f>
        <v>25.3</v>
      </c>
      <c r="C113" s="8">
        <v>1.0</v>
      </c>
      <c r="D113" s="7">
        <v>1.0</v>
      </c>
      <c r="E113" s="8">
        <v>0.0</v>
      </c>
      <c r="F113" s="7">
        <v>0.0</v>
      </c>
      <c r="G113" s="7" t="s">
        <v>564</v>
      </c>
    </row>
    <row r="114">
      <c r="A114" s="7" t="s">
        <v>443</v>
      </c>
      <c r="B114" s="72">
        <f>IFERROR(VLOOKUP(A114, 'Current Decisions'!A:G, 7, FALSE), "")</f>
        <v>44.9</v>
      </c>
      <c r="C114" s="7">
        <v>0.0</v>
      </c>
      <c r="D114" s="7">
        <v>0.0</v>
      </c>
      <c r="E114" s="7">
        <v>1.0</v>
      </c>
      <c r="F114" s="7">
        <v>1.0</v>
      </c>
      <c r="G114" s="7" t="s">
        <v>573</v>
      </c>
    </row>
    <row r="115">
      <c r="A115" s="7" t="s">
        <v>446</v>
      </c>
      <c r="B115" s="72">
        <f>IFERROR(VLOOKUP(A115, 'Current Decisions'!A:G, 7, FALSE), "")</f>
        <v>20.9</v>
      </c>
      <c r="C115" s="8">
        <v>1.0</v>
      </c>
      <c r="D115" s="7">
        <v>0.0</v>
      </c>
      <c r="E115" s="8">
        <v>0.0</v>
      </c>
      <c r="F115" s="7">
        <v>1.0</v>
      </c>
      <c r="G115" s="7" t="s">
        <v>573</v>
      </c>
    </row>
    <row r="116">
      <c r="A116" s="7" t="s">
        <v>448</v>
      </c>
      <c r="B116" s="72">
        <f>IFERROR(VLOOKUP(A116, 'Current Decisions'!A:G, 7, FALSE), "")</f>
        <v>57.7</v>
      </c>
      <c r="C116" s="8">
        <v>2.0</v>
      </c>
      <c r="D116" s="72"/>
      <c r="E116" s="8">
        <v>2.0</v>
      </c>
      <c r="F116" s="72"/>
      <c r="G116" s="7" t="s">
        <v>564</v>
      </c>
    </row>
    <row r="117">
      <c r="A117" s="7" t="s">
        <v>456</v>
      </c>
      <c r="B117" s="72">
        <f>IFERROR(VLOOKUP(A117, 'Current Decisions'!A:G, 7, FALSE), "")</f>
        <v>52</v>
      </c>
      <c r="C117" s="8">
        <v>1.0</v>
      </c>
      <c r="D117" s="7">
        <v>1.0</v>
      </c>
      <c r="E117" s="8">
        <v>0.0</v>
      </c>
      <c r="F117" s="7">
        <v>0.0</v>
      </c>
      <c r="G117" s="7" t="s">
        <v>564</v>
      </c>
      <c r="H117" s="7" t="s">
        <v>595</v>
      </c>
    </row>
    <row r="118">
      <c r="A118" s="7" t="s">
        <v>460</v>
      </c>
      <c r="B118" s="72">
        <f>IFERROR(VLOOKUP(A118, 'Current Decisions'!A:G, 7, FALSE), "")</f>
        <v>17.81</v>
      </c>
      <c r="C118" s="7">
        <v>0.0</v>
      </c>
      <c r="D118" s="7">
        <v>0.0</v>
      </c>
      <c r="E118" s="8">
        <v>1.0</v>
      </c>
      <c r="F118" s="7">
        <v>1.0</v>
      </c>
      <c r="G118" s="7" t="s">
        <v>573</v>
      </c>
    </row>
    <row r="119">
      <c r="A119" s="7" t="s">
        <v>470</v>
      </c>
      <c r="B119" s="72">
        <f>IFERROR(VLOOKUP(A119, 'Current Decisions'!A:G, 7, FALSE), "")</f>
        <v>7</v>
      </c>
      <c r="C119" s="7">
        <v>0.0</v>
      </c>
      <c r="D119" s="7">
        <v>0.0</v>
      </c>
      <c r="E119" s="7">
        <v>1.0</v>
      </c>
      <c r="F119" s="7">
        <v>1.0</v>
      </c>
      <c r="G119" s="7" t="s">
        <v>573</v>
      </c>
    </row>
    <row r="120">
      <c r="A120" s="7" t="s">
        <v>473</v>
      </c>
      <c r="B120" s="72">
        <f>IFERROR(VLOOKUP(A120, 'Current Decisions'!A:G, 7, FALSE), "")</f>
        <v>17.3</v>
      </c>
      <c r="C120" s="7">
        <v>0.0</v>
      </c>
      <c r="D120" s="7">
        <v>0.0</v>
      </c>
      <c r="E120" s="7">
        <v>1.0</v>
      </c>
      <c r="F120" s="7">
        <v>1.0</v>
      </c>
      <c r="G120" s="7" t="s">
        <v>573</v>
      </c>
    </row>
    <row r="121">
      <c r="A121" s="7" t="s">
        <v>479</v>
      </c>
      <c r="B121" s="72">
        <f>IFERROR(VLOOKUP(A121, 'Current Decisions'!A:G, 7, FALSE), "")</f>
        <v>9.7</v>
      </c>
      <c r="C121" s="7">
        <v>0.0</v>
      </c>
      <c r="D121" s="7">
        <v>0.0</v>
      </c>
      <c r="E121" s="8">
        <v>1.0</v>
      </c>
      <c r="F121" s="7">
        <v>1.0</v>
      </c>
      <c r="G121" s="7" t="s">
        <v>573</v>
      </c>
    </row>
    <row r="122">
      <c r="A122" s="7" t="s">
        <v>481</v>
      </c>
      <c r="B122" s="72">
        <f>IFERROR(VLOOKUP(A122, 'Current Decisions'!A:G, 7, FALSE), "")</f>
        <v>23</v>
      </c>
      <c r="C122" s="8">
        <v>0.0</v>
      </c>
      <c r="D122" s="7">
        <v>0.0</v>
      </c>
      <c r="E122" s="8">
        <v>1.0</v>
      </c>
      <c r="F122" s="7">
        <v>1.0</v>
      </c>
      <c r="G122" s="7" t="s">
        <v>564</v>
      </c>
    </row>
    <row r="123">
      <c r="A123" s="7" t="s">
        <v>483</v>
      </c>
      <c r="B123" s="72">
        <f>IFERROR(VLOOKUP(A123, 'Current Decisions'!A:G, 7, FALSE), "")</f>
        <v>23.7</v>
      </c>
      <c r="C123" s="8">
        <v>0.0</v>
      </c>
      <c r="D123" s="7">
        <v>0.0</v>
      </c>
      <c r="E123" s="8">
        <v>2.0</v>
      </c>
      <c r="F123" s="7">
        <v>2.0</v>
      </c>
      <c r="G123" s="7" t="s">
        <v>564</v>
      </c>
    </row>
    <row r="124">
      <c r="A124" s="7" t="s">
        <v>486</v>
      </c>
      <c r="B124" s="72">
        <f>IFERROR(VLOOKUP(A124, 'Current Decisions'!A:G, 7, FALSE), "")</f>
        <v>41</v>
      </c>
      <c r="C124" s="8">
        <v>1.0</v>
      </c>
      <c r="D124" s="7">
        <v>1.0</v>
      </c>
      <c r="E124" s="8">
        <v>0.0</v>
      </c>
      <c r="F124" s="7">
        <v>0.0</v>
      </c>
      <c r="G124" s="7" t="s">
        <v>564</v>
      </c>
      <c r="H124" s="7" t="s">
        <v>596</v>
      </c>
    </row>
    <row r="125">
      <c r="A125" s="7" t="s">
        <v>488</v>
      </c>
      <c r="B125" s="72">
        <f>IFERROR(VLOOKUP(A125, 'Current Decisions'!A:G, 7, FALSE), "")</f>
        <v>20</v>
      </c>
      <c r="C125" s="8">
        <v>0.0</v>
      </c>
      <c r="D125" s="7">
        <v>0.0</v>
      </c>
      <c r="E125" s="8">
        <v>1.0</v>
      </c>
      <c r="F125" s="7">
        <v>1.0</v>
      </c>
      <c r="G125" s="7" t="s">
        <v>564</v>
      </c>
    </row>
    <row r="126">
      <c r="A126" s="7" t="s">
        <v>493</v>
      </c>
      <c r="B126" s="72">
        <f>IFERROR(VLOOKUP(A126, 'Current Decisions'!A:G, 7, FALSE), "")</f>
        <v>23.3</v>
      </c>
      <c r="C126" s="8">
        <v>1.0</v>
      </c>
      <c r="D126" s="7">
        <v>1.0</v>
      </c>
      <c r="E126" s="8">
        <v>0.0</v>
      </c>
      <c r="F126" s="7">
        <v>0.0</v>
      </c>
      <c r="G126" s="7" t="s">
        <v>564</v>
      </c>
      <c r="H126" s="7" t="s">
        <v>597</v>
      </c>
    </row>
    <row r="127">
      <c r="A127" s="7" t="s">
        <v>494</v>
      </c>
      <c r="B127" s="72">
        <f>IFERROR(VLOOKUP(A127, 'Current Decisions'!A:G, 7, FALSE), "")</f>
        <v>45.3</v>
      </c>
      <c r="C127" s="8">
        <v>1.0</v>
      </c>
      <c r="D127" s="7">
        <v>1.0</v>
      </c>
      <c r="E127" s="7">
        <v>1.0</v>
      </c>
      <c r="F127" s="7">
        <v>1.0</v>
      </c>
      <c r="G127" s="7" t="s">
        <v>564</v>
      </c>
      <c r="H127" s="7" t="s">
        <v>598</v>
      </c>
    </row>
    <row r="128">
      <c r="A128" s="7" t="s">
        <v>497</v>
      </c>
      <c r="B128" s="72">
        <f>IFERROR(VLOOKUP(A128, 'Current Decisions'!A:G, 7, FALSE), "")</f>
        <v>20</v>
      </c>
      <c r="C128" s="8">
        <v>0.0</v>
      </c>
      <c r="D128" s="7">
        <v>0.0</v>
      </c>
      <c r="E128" s="8">
        <v>1.0</v>
      </c>
      <c r="F128" s="7">
        <v>1.0</v>
      </c>
      <c r="G128" s="7" t="s">
        <v>564</v>
      </c>
    </row>
    <row r="129">
      <c r="A129" s="7" t="s">
        <v>509</v>
      </c>
      <c r="B129" s="72" t="str">
        <f>IFERROR(VLOOKUP(A129, 'Current Decisions'!A:G, 7, FALSE), "")</f>
        <v>needs update</v>
      </c>
      <c r="C129" s="8">
        <v>1.0</v>
      </c>
      <c r="E129" s="8">
        <v>0.0</v>
      </c>
    </row>
    <row r="130">
      <c r="A130" s="7" t="s">
        <v>511</v>
      </c>
      <c r="B130" s="72" t="str">
        <f>IFERROR(VLOOKUP(A130, 'Current Decisions'!A:G, 7, FALSE), "")</f>
        <v>needs update</v>
      </c>
      <c r="C130" s="8">
        <v>0.0</v>
      </c>
      <c r="D130" s="7">
        <v>0.0</v>
      </c>
      <c r="E130" s="8">
        <v>1.0</v>
      </c>
      <c r="F130" s="7">
        <v>1.0</v>
      </c>
      <c r="G130" s="7" t="s">
        <v>564</v>
      </c>
    </row>
    <row r="131">
      <c r="A131" s="7" t="s">
        <v>516</v>
      </c>
      <c r="B131" s="72" t="str">
        <f>IFERROR(VLOOKUP(A131, 'Current Decisions'!A:G, 7, FALSE), "")</f>
        <v>needs update</v>
      </c>
      <c r="C131" s="8">
        <v>1.0</v>
      </c>
      <c r="E131" s="8">
        <v>0.0</v>
      </c>
    </row>
    <row r="132">
      <c r="A132" s="7" t="s">
        <v>509</v>
      </c>
      <c r="B132" s="72" t="str">
        <f>IFERROR(VLOOKUP(A132, 'Current Decisions'!A:G, 7, FALSE), "")</f>
        <v>needs update</v>
      </c>
      <c r="C132" s="8">
        <v>1.0</v>
      </c>
      <c r="E132" s="8">
        <v>0.0</v>
      </c>
    </row>
    <row r="133">
      <c r="A133" s="7" t="s">
        <v>509</v>
      </c>
      <c r="B133" s="72" t="str">
        <f>IFERROR(VLOOKUP(A133, 'Current Decisions'!A:G, 7, FALSE), "")</f>
        <v>needs update</v>
      </c>
      <c r="C133" s="8">
        <v>1.0</v>
      </c>
      <c r="E133" s="8">
        <v>0.0</v>
      </c>
    </row>
    <row r="134">
      <c r="A134" s="7" t="s">
        <v>511</v>
      </c>
      <c r="B134" s="72" t="str">
        <f>IFERROR(VLOOKUP(A134, 'Current Decisions'!A:G, 7, FALSE), "")</f>
        <v>needs update</v>
      </c>
      <c r="C134" s="8">
        <v>0.0</v>
      </c>
      <c r="E134" s="8">
        <v>1.0</v>
      </c>
    </row>
    <row r="135">
      <c r="A135" s="7" t="s">
        <v>516</v>
      </c>
      <c r="B135" s="72" t="str">
        <f>IFERROR(VLOOKUP(A135, 'Current Decisions'!A:G, 7, FALSE), "")</f>
        <v>needs update</v>
      </c>
      <c r="C135" s="8">
        <v>1.0</v>
      </c>
      <c r="E135" s="8">
        <v>0.0</v>
      </c>
    </row>
    <row r="136">
      <c r="A136" s="7" t="s">
        <v>509</v>
      </c>
      <c r="B136" s="72" t="str">
        <f>IFERROR(VLOOKUP(A136, 'Current Decisions'!A:G, 7, FALSE), "")</f>
        <v>needs update</v>
      </c>
      <c r="C136" s="8">
        <v>1.0</v>
      </c>
      <c r="E136" s="8">
        <v>0.0</v>
      </c>
    </row>
    <row r="137">
      <c r="A137" s="7" t="s">
        <v>511</v>
      </c>
      <c r="B137" s="72" t="str">
        <f>IFERROR(VLOOKUP(A137, 'Current Decisions'!A:G, 7, FALSE), "")</f>
        <v>needs update</v>
      </c>
      <c r="C137" s="8">
        <v>0.0</v>
      </c>
      <c r="E137" s="8">
        <v>1.0</v>
      </c>
    </row>
  </sheetData>
  <conditionalFormatting sqref="A63">
    <cfRule type="expression" dxfId="1" priority="1">
      <formula>$I63="C"</formula>
    </cfRule>
  </conditionalFormatting>
  <conditionalFormatting sqref="A2:G498">
    <cfRule type="expression" dxfId="6" priority="2">
      <formula>$G2="BTT"</formula>
    </cfRule>
  </conditionalFormatting>
  <conditionalFormatting sqref="A2:G134">
    <cfRule type="expression" dxfId="5" priority="3">
      <formula>OR($G2="C",$G2="Confirmed in Symplicity")</formula>
    </cfRule>
  </conditionalFormatting>
  <conditionalFormatting sqref="A2:G118">
    <cfRule type="expression" dxfId="7" priority="4">
      <formula>$G2 = "UP"</formula>
    </cfRule>
  </conditionalFormatting>
  <conditionalFormatting sqref="A2:G118">
    <cfRule type="expression" dxfId="12" priority="5">
      <formula>$G2 = "R"</formula>
    </cfRule>
  </conditionalFormatting>
  <conditionalFormatting sqref="A2:G118">
    <cfRule type="expression" dxfId="13" priority="6">
      <formula>$G2 = "Q"</formula>
    </cfRule>
  </conditionalFormatting>
  <conditionalFormatting sqref="A2:G118">
    <cfRule type="expression" dxfId="8" priority="7">
      <formula>$A2 &lt;&gt; ""</formula>
    </cfRule>
  </conditionalFormatting>
  <conditionalFormatting sqref="A63">
    <cfRule type="expression" dxfId="0" priority="8">
      <formula>$H63 &gt; 6</formula>
    </cfRule>
  </conditionalFormatting>
  <conditionalFormatting sqref="A63">
    <cfRule type="cellIs" dxfId="9" priority="9" operator="lessThan">
      <formula>-1</formula>
    </cfRule>
  </conditionalFormatting>
  <conditionalFormatting sqref="A63">
    <cfRule type="expression" dxfId="4" priority="10">
      <formula>$G63 &gt; 30</formula>
    </cfRule>
  </conditionalFormatting>
  <conditionalFormatting sqref="A3:G89">
    <cfRule type="expression" dxfId="5" priority="11">
      <formula>$G3 = "C"</formula>
    </cfRule>
  </conditionalFormatting>
  <conditionalFormatting sqref="A3:G89">
    <cfRule type="expression" dxfId="7" priority="12">
      <formula>$G3 = "UP"</formula>
    </cfRule>
  </conditionalFormatting>
  <conditionalFormatting sqref="A3:G89">
    <cfRule type="expression" dxfId="12" priority="13">
      <formula>$G3 = "R"</formula>
    </cfRule>
  </conditionalFormatting>
  <conditionalFormatting sqref="A3:G89">
    <cfRule type="expression" dxfId="13" priority="14">
      <formula>$G3 = "Q"</formula>
    </cfRule>
  </conditionalFormatting>
  <conditionalFormatting sqref="A3:G89">
    <cfRule type="expression" dxfId="8" priority="15">
      <formula>$A3 &lt;&gt; ""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8" max="8" width="18.38"/>
  </cols>
  <sheetData>
    <row r="1">
      <c r="A1" s="7" t="s">
        <v>599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157</v>
      </c>
      <c r="B2" s="72">
        <f>IFERROR(VLOOKUP(A2, 'Current Decisions'!A:G, 7, FALSE), "")</f>
        <v>38.2</v>
      </c>
      <c r="C2" s="8">
        <v>1.0</v>
      </c>
      <c r="D2" s="72">
        <f>C2</f>
        <v>1</v>
      </c>
      <c r="E2" s="8">
        <v>1.0</v>
      </c>
      <c r="F2" s="72">
        <f>E2</f>
        <v>1</v>
      </c>
      <c r="G2" s="14" t="s">
        <v>564</v>
      </c>
    </row>
    <row r="3">
      <c r="A3" s="7" t="s">
        <v>352</v>
      </c>
      <c r="B3" s="72">
        <f>IFERROR(VLOOKUP(A3, 'Current Decisions'!A:G, 7, FALSE), "")</f>
        <v>25.6</v>
      </c>
      <c r="C3" s="8">
        <v>1.0</v>
      </c>
      <c r="D3" s="7">
        <v>1.0</v>
      </c>
      <c r="E3" s="8">
        <v>0.0</v>
      </c>
      <c r="F3" s="7">
        <v>0.0</v>
      </c>
      <c r="G3" s="7" t="s">
        <v>564</v>
      </c>
    </row>
    <row r="4">
      <c r="A4" s="7" t="s">
        <v>424</v>
      </c>
      <c r="B4" s="72">
        <f>IFERROR(VLOOKUP(A4, 'Current Decisions'!A:G, 7, FALSE), "")</f>
        <v>24.5</v>
      </c>
      <c r="C4" s="8">
        <v>1.0</v>
      </c>
      <c r="D4" s="7">
        <v>1.0</v>
      </c>
      <c r="E4" s="8">
        <v>0.0</v>
      </c>
      <c r="F4" s="7">
        <v>0.0</v>
      </c>
      <c r="G4" s="7" t="s">
        <v>564</v>
      </c>
      <c r="H4" s="7" t="s">
        <v>600</v>
      </c>
    </row>
    <row r="5">
      <c r="A5" s="7" t="s">
        <v>506</v>
      </c>
      <c r="B5" s="72">
        <f>IFERROR(VLOOKUP(A5, 'Current Decisions'!A:G, 7, FALSE), "")</f>
        <v>19.9</v>
      </c>
      <c r="C5" s="8">
        <v>1.0</v>
      </c>
      <c r="E5" s="8">
        <v>0.0</v>
      </c>
    </row>
    <row r="6">
      <c r="A6" s="7" t="s">
        <v>506</v>
      </c>
      <c r="B6" s="72">
        <f>IFERROR(VLOOKUP(A6, 'Current Decisions'!A:G, 7, FALSE), "")</f>
        <v>19.9</v>
      </c>
      <c r="C6" s="8">
        <v>1.0</v>
      </c>
      <c r="E6" s="8">
        <v>0.0</v>
      </c>
    </row>
    <row r="7">
      <c r="A7" s="7" t="s">
        <v>506</v>
      </c>
      <c r="B7" s="72">
        <f>IFERROR(VLOOKUP(A7, 'Current Decisions'!A:G, 7, FALSE), "")</f>
        <v>19.9</v>
      </c>
      <c r="C7" s="8">
        <v>1.0</v>
      </c>
      <c r="E7" s="8">
        <v>0.0</v>
      </c>
    </row>
    <row r="8">
      <c r="A8" s="7" t="s">
        <v>506</v>
      </c>
      <c r="B8" s="72">
        <f>IFERROR(VLOOKUP(A8, 'Current Decisions'!A:G, 7, FALSE), "")</f>
        <v>19.9</v>
      </c>
      <c r="C8" s="8">
        <v>1.0</v>
      </c>
      <c r="E8" s="8">
        <v>0.0</v>
      </c>
    </row>
  </sheetData>
  <conditionalFormatting sqref="A2:G31">
    <cfRule type="expression" dxfId="5" priority="1">
      <formula>OR($G2="C",$G2="Confirmed in Symplicity")</formula>
    </cfRule>
  </conditionalFormatting>
  <conditionalFormatting sqref="A2:G31">
    <cfRule type="expression" dxfId="8" priority="2">
      <formula>OR($G2="W",$G2="W/R")</formula>
    </cfRule>
  </conditionalFormatting>
  <conditionalFormatting sqref="A2:G31">
    <cfRule type="expression" dxfId="6" priority="3">
      <formula>$G2="BTT"</formula>
    </cfRule>
  </conditionalFormatting>
  <conditionalFormatting sqref="A2:G31">
    <cfRule type="expression" dxfId="7" priority="4">
      <formula>$G2="R"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7" max="7" width="19.5"/>
    <col customWidth="1" min="8" max="8" width="18.38"/>
  </cols>
  <sheetData>
    <row r="1">
      <c r="A1" s="7" t="s">
        <v>601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382</v>
      </c>
      <c r="B2" s="72">
        <f>IFERROR(VLOOKUP(A2, 'Current Decisions'!A:G, 7, FALSE), "")</f>
        <v>32.9</v>
      </c>
      <c r="C2" s="8">
        <v>1.0</v>
      </c>
      <c r="D2" s="7">
        <v>1.0</v>
      </c>
      <c r="E2" s="8">
        <v>0.0</v>
      </c>
      <c r="F2" s="7">
        <v>0.0</v>
      </c>
      <c r="G2" s="7" t="s">
        <v>564</v>
      </c>
    </row>
    <row r="3">
      <c r="A3" s="7" t="s">
        <v>298</v>
      </c>
      <c r="B3" s="72">
        <f>IFERROR(VLOOKUP(A3, 'Current Decisions'!A:G, 7, FALSE), "")</f>
        <v>23.2</v>
      </c>
      <c r="C3" s="8">
        <v>1.0</v>
      </c>
      <c r="D3" s="7">
        <v>1.0</v>
      </c>
      <c r="E3" s="8">
        <v>1.0</v>
      </c>
      <c r="F3" s="7">
        <v>1.0</v>
      </c>
      <c r="G3" s="7" t="s">
        <v>564</v>
      </c>
    </row>
    <row r="4">
      <c r="A4" s="7" t="s">
        <v>294</v>
      </c>
      <c r="B4" s="72">
        <f>IFERROR(VLOOKUP(A4, 'Current Decisions'!A:G, 7, FALSE), "")</f>
        <v>15.8</v>
      </c>
      <c r="C4" s="8">
        <v>1.0</v>
      </c>
      <c r="D4" s="7">
        <v>1.0</v>
      </c>
      <c r="E4" s="8">
        <v>0.0</v>
      </c>
      <c r="F4" s="7">
        <v>0.0</v>
      </c>
      <c r="G4" s="7" t="s">
        <v>564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>
      <c r="A5" s="7" t="s">
        <v>18</v>
      </c>
      <c r="B5" s="72">
        <f>IFERROR(VLOOKUP(A5, 'Current Decisions'!A:G, 7, FALSE), "")</f>
        <v>0</v>
      </c>
      <c r="C5" s="8">
        <v>1.0</v>
      </c>
      <c r="D5" s="72">
        <f>C5</f>
        <v>1</v>
      </c>
      <c r="E5" s="8">
        <v>1.0</v>
      </c>
      <c r="F5" s="72">
        <f>E5</f>
        <v>1</v>
      </c>
      <c r="G5" s="7" t="s">
        <v>564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7" t="s">
        <v>432</v>
      </c>
      <c r="B6" s="72">
        <f>IFERROR(VLOOKUP(A6, 'Current Decisions'!A:G, 7, FALSE), "")</f>
        <v>20</v>
      </c>
      <c r="C6" s="8">
        <v>0.0</v>
      </c>
      <c r="D6" s="7">
        <v>0.0</v>
      </c>
      <c r="E6" s="8">
        <v>1.0</v>
      </c>
      <c r="F6" s="7">
        <v>1.0</v>
      </c>
      <c r="G6" s="7" t="s">
        <v>564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30" t="s">
        <v>462</v>
      </c>
      <c r="B7" s="77">
        <f>IFERROR(VLOOKUP(A7, 'Current Decisions'!A:G, 7, FALSE), "")</f>
        <v>12.44</v>
      </c>
      <c r="C7" s="30">
        <v>0.0</v>
      </c>
      <c r="D7" s="114">
        <v>0.0</v>
      </c>
      <c r="E7" s="30">
        <v>1.0</v>
      </c>
      <c r="F7" s="114">
        <v>0.0</v>
      </c>
      <c r="G7" s="30" t="s">
        <v>565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7" t="s">
        <v>468</v>
      </c>
      <c r="B8" s="72">
        <f>IFERROR(VLOOKUP(A8, 'Current Decisions'!A:G, 7, FALSE), "")</f>
        <v>6</v>
      </c>
      <c r="C8" s="8">
        <v>1.0</v>
      </c>
      <c r="D8" s="7">
        <v>1.0</v>
      </c>
      <c r="E8" s="8">
        <v>0.0</v>
      </c>
      <c r="F8" s="7">
        <v>0.0</v>
      </c>
      <c r="G8" s="7" t="s">
        <v>564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7" t="s">
        <v>487</v>
      </c>
      <c r="B9" s="72">
        <f>IFERROR(VLOOKUP(A9, 'Current Decisions'!A:G, 7, FALSE), "")</f>
        <v>30.3</v>
      </c>
      <c r="C9" s="8">
        <v>0.0</v>
      </c>
      <c r="D9" s="7">
        <v>0.0</v>
      </c>
      <c r="E9" s="8">
        <v>1.0</v>
      </c>
      <c r="F9" s="7">
        <v>1.0</v>
      </c>
      <c r="G9" s="7" t="s">
        <v>564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7" t="s">
        <v>501</v>
      </c>
      <c r="B10" s="72">
        <f>IFERROR(VLOOKUP(A10, 'Current Decisions'!A:G, 7, FALSE), "")</f>
        <v>8</v>
      </c>
      <c r="C10" s="8">
        <v>0.0</v>
      </c>
      <c r="D10" s="7">
        <v>0.0</v>
      </c>
      <c r="E10" s="8">
        <v>1.0</v>
      </c>
      <c r="F10" s="7">
        <v>1.0</v>
      </c>
      <c r="G10" s="7" t="s">
        <v>564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7" t="s">
        <v>503</v>
      </c>
      <c r="B11" s="72">
        <f>IFERROR(VLOOKUP(A11, 'Current Decisions'!A:G, 7, FALSE), "")</f>
        <v>42.1</v>
      </c>
      <c r="C11" s="8">
        <v>1.0</v>
      </c>
      <c r="D11" s="7">
        <v>1.0</v>
      </c>
      <c r="E11" s="8">
        <v>1.0</v>
      </c>
      <c r="F11" s="7">
        <v>1.0</v>
      </c>
      <c r="G11" s="7" t="s">
        <v>564</v>
      </c>
    </row>
    <row r="12">
      <c r="A12" s="7" t="s">
        <v>510</v>
      </c>
      <c r="B12" s="72" t="str">
        <f>IFERROR(VLOOKUP(A12, 'Current Decisions'!A:G, 7, FALSE), "")</f>
        <v>needs update</v>
      </c>
      <c r="C12" s="8">
        <v>0.0</v>
      </c>
      <c r="E12" s="8">
        <v>1.0</v>
      </c>
    </row>
    <row r="13">
      <c r="A13" s="7" t="s">
        <v>510</v>
      </c>
      <c r="B13" s="72" t="str">
        <f>IFERROR(VLOOKUP(A13, 'Current Decisions'!A:G, 7, FALSE), "")</f>
        <v>needs update</v>
      </c>
      <c r="C13" s="8">
        <v>0.0</v>
      </c>
      <c r="E13" s="8">
        <v>1.0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>
      <c r="A14" s="7" t="s">
        <v>510</v>
      </c>
      <c r="B14" s="72" t="str">
        <f>IFERROR(VLOOKUP(A14, 'Current Decisions'!A:G, 7, FALSE), "")</f>
        <v>needs update</v>
      </c>
      <c r="C14" s="8">
        <v>0.0</v>
      </c>
      <c r="E14" s="8">
        <v>1.0</v>
      </c>
    </row>
    <row r="15">
      <c r="A15" s="72"/>
      <c r="B15" s="72"/>
      <c r="C15" s="72"/>
      <c r="D15" s="72"/>
      <c r="E15" s="72"/>
      <c r="F15" s="72"/>
      <c r="G15" s="72"/>
    </row>
    <row r="16">
      <c r="A16" s="145"/>
      <c r="D16" s="145"/>
      <c r="F16" s="145"/>
      <c r="G16" s="7"/>
    </row>
    <row r="17">
      <c r="A17" s="146"/>
      <c r="B17" s="147"/>
      <c r="C17" s="77"/>
      <c r="D17" s="30"/>
      <c r="E17" s="77"/>
      <c r="F17" s="30"/>
      <c r="G17" s="30"/>
    </row>
    <row r="18">
      <c r="A18" s="30"/>
      <c r="B18" s="67"/>
      <c r="C18" s="67"/>
      <c r="D18" s="30"/>
      <c r="E18" s="67"/>
      <c r="F18" s="30"/>
      <c r="G18" s="30"/>
    </row>
    <row r="20">
      <c r="A20" s="145"/>
      <c r="B20" s="11"/>
      <c r="D20" s="7"/>
      <c r="F20" s="7"/>
      <c r="G20" s="7"/>
    </row>
  </sheetData>
  <conditionalFormatting sqref="G2">
    <cfRule type="expression" dxfId="8" priority="1">
      <formula>OR($G2="W", $G2="W/R",ISBLANK($G2))</formula>
    </cfRule>
  </conditionalFormatting>
  <conditionalFormatting sqref="G2">
    <cfRule type="expression" dxfId="10" priority="2">
      <formula>$G2="B"</formula>
    </cfRule>
  </conditionalFormatting>
  <conditionalFormatting sqref="A15:G15">
    <cfRule type="expression" dxfId="8" priority="3">
      <formula>OR($G15="W",ISBLANK($G15))</formula>
    </cfRule>
  </conditionalFormatting>
  <conditionalFormatting sqref="A15:G15">
    <cfRule type="containsText" dxfId="6" priority="4" operator="containsText" text="BTT">
      <formula>NOT(ISERROR(SEARCH(("BTT"),(A15))))</formula>
    </cfRule>
  </conditionalFormatting>
  <conditionalFormatting sqref="A2:G31">
    <cfRule type="expression" dxfId="5" priority="5">
      <formula>OR($G2="C",$G2="Confirmed in Symplicity")</formula>
    </cfRule>
  </conditionalFormatting>
  <conditionalFormatting sqref="A2:G31">
    <cfRule type="expression" dxfId="8" priority="6">
      <formula>OR($G2="W",$G2="W/R")</formula>
    </cfRule>
  </conditionalFormatting>
  <conditionalFormatting sqref="A2:G31">
    <cfRule type="expression" dxfId="6" priority="7">
      <formula>$G2="BTT"</formula>
    </cfRule>
  </conditionalFormatting>
  <conditionalFormatting sqref="A2:G31">
    <cfRule type="expression" dxfId="7" priority="8">
      <formula>$G2="R"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602</v>
      </c>
      <c r="B1" s="43" t="s">
        <v>563</v>
      </c>
      <c r="C1" s="43" t="s">
        <v>8</v>
      </c>
      <c r="D1" s="43" t="s">
        <v>9</v>
      </c>
      <c r="E1" s="43" t="s">
        <v>10</v>
      </c>
      <c r="F1" s="43" t="s">
        <v>11</v>
      </c>
      <c r="G1" s="43" t="s">
        <v>7</v>
      </c>
    </row>
    <row r="2">
      <c r="A2" s="7" t="s">
        <v>40</v>
      </c>
      <c r="B2" s="72">
        <f>IFERROR(VLOOKUP(A2, 'Current Decisions'!A:G, 7, FALSE), "")</f>
        <v>14.7</v>
      </c>
      <c r="C2" s="8">
        <v>1.0</v>
      </c>
      <c r="D2" s="72">
        <f t="shared" ref="D2:D3" si="1">C2</f>
        <v>1</v>
      </c>
      <c r="E2" s="8">
        <v>1.0</v>
      </c>
      <c r="F2" s="72">
        <f t="shared" ref="F2:F3" si="2">E2</f>
        <v>1</v>
      </c>
      <c r="G2" s="7" t="s">
        <v>564</v>
      </c>
    </row>
    <row r="3">
      <c r="A3" s="7" t="s">
        <v>55</v>
      </c>
      <c r="B3" s="72">
        <f>IFERROR(VLOOKUP(A3, 'Current Decisions'!A:G, 7, FALSE), "")</f>
        <v>21.7</v>
      </c>
      <c r="C3" s="8">
        <v>1.0</v>
      </c>
      <c r="D3" s="72">
        <f t="shared" si="1"/>
        <v>1</v>
      </c>
      <c r="E3" s="8">
        <v>1.0</v>
      </c>
      <c r="F3" s="72">
        <f t="shared" si="2"/>
        <v>1</v>
      </c>
      <c r="G3" s="7" t="s">
        <v>564</v>
      </c>
    </row>
  </sheetData>
  <conditionalFormatting sqref="G2">
    <cfRule type="expression" dxfId="8" priority="1">
      <formula>OR($G2="W", $G2="W/R",ISBLANK($G2))</formula>
    </cfRule>
  </conditionalFormatting>
  <conditionalFormatting sqref="G2">
    <cfRule type="expression" dxfId="10" priority="2">
      <formula>$G2="B"</formula>
    </cfRule>
  </conditionalFormatting>
  <conditionalFormatting sqref="A2:G4">
    <cfRule type="expression" dxfId="5" priority="3">
      <formula>OR($G2="C",$G2="Confirmed in Symplicity")</formula>
    </cfRule>
  </conditionalFormatting>
  <conditionalFormatting sqref="A2:G4">
    <cfRule type="expression" dxfId="8" priority="4">
      <formula>OR($G2="W",$G2="W/R")</formula>
    </cfRule>
  </conditionalFormatting>
  <conditionalFormatting sqref="A2:G4">
    <cfRule type="expression" dxfId="6" priority="5">
      <formula>$G2="BTT"</formula>
    </cfRule>
  </conditionalFormatting>
  <conditionalFormatting sqref="A2:G4">
    <cfRule type="expression" dxfId="7" priority="6">
      <formula>$G2="R"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7" t="s">
        <v>603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274</v>
      </c>
      <c r="B2" s="72">
        <f>IFERROR(VLOOKUP(A2, 'Current Decisions'!A:G, 7, FALSE), "")</f>
        <v>35.2</v>
      </c>
      <c r="C2" s="8">
        <v>1.0</v>
      </c>
      <c r="D2" s="72">
        <f t="shared" ref="D2:D3" si="1">C2</f>
        <v>1</v>
      </c>
      <c r="E2" s="8">
        <v>1.0</v>
      </c>
      <c r="F2" s="72">
        <f t="shared" ref="F2:F3" si="2">E2</f>
        <v>1</v>
      </c>
      <c r="G2" s="7" t="s">
        <v>564</v>
      </c>
    </row>
    <row r="3">
      <c r="A3" s="7" t="s">
        <v>124</v>
      </c>
      <c r="B3" s="72">
        <f>IFERROR(VLOOKUP(A3, 'Current Decisions'!A:G, 7, FALSE), "")</f>
        <v>29</v>
      </c>
      <c r="C3" s="8">
        <v>1.0</v>
      </c>
      <c r="D3" s="72">
        <f t="shared" si="1"/>
        <v>1</v>
      </c>
      <c r="E3" s="8">
        <v>0.0</v>
      </c>
      <c r="F3" s="72">
        <f t="shared" si="2"/>
        <v>0</v>
      </c>
      <c r="G3" s="7" t="s">
        <v>564</v>
      </c>
    </row>
    <row r="4">
      <c r="A4" s="7" t="s">
        <v>335</v>
      </c>
      <c r="B4" s="72">
        <f>IFERROR(VLOOKUP(A4, 'Current Decisions'!A:G, 7, FALSE), "")</f>
        <v>24.5</v>
      </c>
      <c r="C4" s="8">
        <v>1.0</v>
      </c>
      <c r="D4" s="7">
        <v>1.0</v>
      </c>
      <c r="E4" s="8">
        <v>0.0</v>
      </c>
      <c r="F4" s="7">
        <v>0.0</v>
      </c>
      <c r="G4" s="7" t="s">
        <v>564</v>
      </c>
    </row>
    <row r="5">
      <c r="A5" s="14" t="s">
        <v>399</v>
      </c>
      <c r="B5" s="137">
        <f>IFERROR(VLOOKUP(A5, 'Current Decisions'!A:G, 7, FALSE), "")</f>
        <v>21.8</v>
      </c>
      <c r="C5" s="16">
        <v>1.0</v>
      </c>
      <c r="D5" s="14">
        <v>1.0</v>
      </c>
      <c r="E5" s="16">
        <v>0.0</v>
      </c>
      <c r="F5" s="14">
        <v>0.0</v>
      </c>
      <c r="G5" s="14" t="s">
        <v>564</v>
      </c>
    </row>
    <row r="6">
      <c r="A6" s="7" t="s">
        <v>404</v>
      </c>
      <c r="B6" s="72">
        <f>IFERROR(VLOOKUP(A6, 'Current Decisions'!A:G, 7, FALSE), "")</f>
        <v>11</v>
      </c>
      <c r="C6" s="8">
        <v>1.0</v>
      </c>
      <c r="D6" s="7">
        <v>1.0</v>
      </c>
      <c r="E6" s="8">
        <v>1.0</v>
      </c>
      <c r="F6" s="7">
        <v>1.0</v>
      </c>
      <c r="G6" s="7" t="s">
        <v>564</v>
      </c>
    </row>
    <row r="7">
      <c r="A7" s="7" t="s">
        <v>179</v>
      </c>
      <c r="B7" s="72">
        <f>IFERROR(VLOOKUP(A7, 'Current Decisions'!A:G, 7, FALSE), "")</f>
        <v>9.5</v>
      </c>
      <c r="C7" s="8">
        <v>1.0</v>
      </c>
      <c r="D7" s="72">
        <f>C7</f>
        <v>1</v>
      </c>
      <c r="E7" s="8">
        <v>1.0</v>
      </c>
      <c r="F7" s="72">
        <f>E7</f>
        <v>1</v>
      </c>
      <c r="G7" s="7" t="s">
        <v>564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>
      <c r="A8" s="7" t="s">
        <v>358</v>
      </c>
      <c r="B8" s="72">
        <f>IFERROR(VLOOKUP(A8, 'Current Decisions'!A:G, 7, FALSE), "")</f>
        <v>8.8</v>
      </c>
      <c r="C8" s="8">
        <v>0.0</v>
      </c>
      <c r="D8" s="7">
        <v>0.0</v>
      </c>
      <c r="E8" s="8">
        <v>1.0</v>
      </c>
      <c r="F8" s="7">
        <v>1.0</v>
      </c>
      <c r="G8" s="7" t="s">
        <v>564</v>
      </c>
    </row>
    <row r="9">
      <c r="A9" s="7" t="s">
        <v>496</v>
      </c>
      <c r="B9" s="72">
        <f>IFERROR(VLOOKUP(A9, 'Current Decisions'!A:G, 7, FALSE), "")</f>
        <v>0</v>
      </c>
      <c r="C9" s="8">
        <v>0.0</v>
      </c>
      <c r="D9" s="7">
        <v>0.0</v>
      </c>
      <c r="E9" s="8">
        <v>1.0</v>
      </c>
      <c r="F9" s="7">
        <v>1.0</v>
      </c>
      <c r="G9" s="7" t="s">
        <v>564</v>
      </c>
    </row>
    <row r="10">
      <c r="A10" s="7" t="s">
        <v>500</v>
      </c>
      <c r="B10" s="72">
        <f>IFERROR(VLOOKUP(A10, 'Current Decisions'!A:G, 7, FALSE), "")</f>
        <v>40.5</v>
      </c>
      <c r="C10" s="8">
        <v>1.0</v>
      </c>
      <c r="D10" s="7">
        <v>1.0</v>
      </c>
      <c r="E10" s="8">
        <v>0.0</v>
      </c>
      <c r="F10" s="7">
        <v>0.0</v>
      </c>
      <c r="G10" s="7" t="s">
        <v>564</v>
      </c>
    </row>
  </sheetData>
  <conditionalFormatting sqref="G2:G4">
    <cfRule type="expression" dxfId="8" priority="1">
      <formula>OR($G2="W", $G2="W/R",ISBLANK($G2))</formula>
    </cfRule>
  </conditionalFormatting>
  <conditionalFormatting sqref="G2:G4">
    <cfRule type="expression" dxfId="10" priority="2">
      <formula>$G2="B"</formula>
    </cfRule>
  </conditionalFormatting>
  <conditionalFormatting sqref="A6:G6">
    <cfRule type="expression" dxfId="5" priority="3">
      <formula>OR($G6="C",$G6="Confirmed in Symplicity")</formula>
    </cfRule>
  </conditionalFormatting>
  <conditionalFormatting sqref="A6:G6">
    <cfRule type="expression" dxfId="5" priority="4">
      <formula>$G6 = "C"</formula>
    </cfRule>
  </conditionalFormatting>
  <conditionalFormatting sqref="A6:G6">
    <cfRule type="expression" dxfId="7" priority="5">
      <formula>$G6 = "UP"</formula>
    </cfRule>
  </conditionalFormatting>
  <conditionalFormatting sqref="A6:G6">
    <cfRule type="expression" dxfId="12" priority="6">
      <formula>$G6 = "R"</formula>
    </cfRule>
  </conditionalFormatting>
  <conditionalFormatting sqref="A6:G6">
    <cfRule type="expression" dxfId="13" priority="7">
      <formula>$G6 = "Q"</formula>
    </cfRule>
  </conditionalFormatting>
  <conditionalFormatting sqref="A6:G6">
    <cfRule type="expression" dxfId="8" priority="8">
      <formula>$A6 &lt;&gt; ""</formula>
    </cfRule>
  </conditionalFormatting>
  <conditionalFormatting sqref="A2:A5 B2:G30 A7:A30">
    <cfRule type="expression" dxfId="5" priority="9">
      <formula>OR($G2="C",$G2="Confirmed in Symplicity")</formula>
    </cfRule>
  </conditionalFormatting>
  <conditionalFormatting sqref="A2:A5 B2:G30 A7:A30">
    <cfRule type="expression" dxfId="8" priority="10">
      <formula>OR($G2="W",$G2="W/R")</formula>
    </cfRule>
  </conditionalFormatting>
  <conditionalFormatting sqref="A2:A5 B2:G30 A7:A30">
    <cfRule type="expression" dxfId="6" priority="11">
      <formula>$G2="BTT"</formula>
    </cfRule>
  </conditionalFormatting>
  <conditionalFormatting sqref="A2:A5 B2:G30 A7:A30">
    <cfRule type="expression" dxfId="7" priority="12">
      <formula>$G2="R"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7" max="7" width="18.38"/>
  </cols>
  <sheetData>
    <row r="1">
      <c r="A1" s="7" t="s">
        <v>604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16</v>
      </c>
      <c r="B2" s="72">
        <f>IFERROR(VLOOKUP(A2, 'Current Decisions'!A:G, 7, FALSE), "")</f>
        <v>18.8</v>
      </c>
      <c r="C2" s="8">
        <v>1.0</v>
      </c>
      <c r="D2" s="7">
        <v>1.0</v>
      </c>
      <c r="E2" s="8">
        <v>1.0</v>
      </c>
      <c r="F2" s="7">
        <v>1.0</v>
      </c>
      <c r="G2" s="7" t="s">
        <v>564</v>
      </c>
    </row>
    <row r="3">
      <c r="A3" s="7" t="s">
        <v>131</v>
      </c>
      <c r="B3" s="72">
        <f>IFERROR(VLOOKUP(A3, 'Current Decisions'!A:G, 7, FALSE), "")</f>
        <v>12.5</v>
      </c>
      <c r="C3" s="8">
        <v>1.0</v>
      </c>
      <c r="D3" s="7">
        <v>1.0</v>
      </c>
      <c r="E3" s="8">
        <v>1.0</v>
      </c>
      <c r="F3" s="7">
        <v>1.0</v>
      </c>
      <c r="G3" s="7" t="s">
        <v>564</v>
      </c>
    </row>
    <row r="4">
      <c r="A4" s="30" t="s">
        <v>293</v>
      </c>
      <c r="B4" s="77">
        <f>IFERROR(VLOOKUP(A4, 'Current Decisions'!A:G, 7, FALSE), "")</f>
        <v>12.5</v>
      </c>
      <c r="C4" s="114">
        <v>1.0</v>
      </c>
      <c r="D4" s="114"/>
      <c r="E4" s="114">
        <v>1.0</v>
      </c>
      <c r="F4" s="114"/>
      <c r="G4" s="30" t="s">
        <v>565</v>
      </c>
      <c r="H4" s="14" t="s">
        <v>605</v>
      </c>
    </row>
    <row r="5">
      <c r="A5" s="14" t="s">
        <v>457</v>
      </c>
      <c r="B5" s="13">
        <f>IFERROR(VLOOKUP(A5, 'Current Decisions'!A:G, 7, FALSE), "")</f>
        <v>26.5</v>
      </c>
      <c r="C5" s="13">
        <v>1.0</v>
      </c>
      <c r="D5" s="13">
        <v>1.0</v>
      </c>
      <c r="E5" s="13">
        <v>0.0</v>
      </c>
      <c r="F5" s="13">
        <v>0.0</v>
      </c>
      <c r="G5" s="7" t="s">
        <v>564</v>
      </c>
      <c r="H5" s="14" t="s">
        <v>606</v>
      </c>
    </row>
    <row r="6">
      <c r="A6" s="7" t="s">
        <v>485</v>
      </c>
      <c r="B6" s="72">
        <f>IFERROR(VLOOKUP(A6, 'Current Decisions'!A:G, 7, FALSE), "")</f>
        <v>25.5</v>
      </c>
      <c r="C6" s="8">
        <v>1.0</v>
      </c>
      <c r="D6" s="7">
        <v>1.0</v>
      </c>
      <c r="E6" s="8">
        <v>0.0</v>
      </c>
      <c r="F6" s="7">
        <v>0.0</v>
      </c>
      <c r="G6" s="7" t="s">
        <v>564</v>
      </c>
      <c r="H6" s="14"/>
    </row>
    <row r="7">
      <c r="A7" s="90"/>
      <c r="B7" s="148"/>
      <c r="C7" s="148"/>
      <c r="D7" s="90"/>
      <c r="E7" s="148"/>
      <c r="F7" s="90"/>
      <c r="G7" s="90"/>
    </row>
    <row r="8">
      <c r="A8" s="43"/>
      <c r="B8" s="149"/>
      <c r="C8" s="137"/>
      <c r="D8" s="14"/>
      <c r="E8" s="137"/>
      <c r="F8" s="14"/>
      <c r="G8" s="14"/>
    </row>
  </sheetData>
  <conditionalFormatting sqref="A2:G31">
    <cfRule type="expression" dxfId="5" priority="1">
      <formula>OR($G2="C",$G2="Confirmed in Symplicity")</formula>
    </cfRule>
  </conditionalFormatting>
  <conditionalFormatting sqref="A2:G31">
    <cfRule type="expression" dxfId="8" priority="2">
      <formula>OR($G2="W",$G2="W/R")</formula>
    </cfRule>
  </conditionalFormatting>
  <conditionalFormatting sqref="A2:G31">
    <cfRule type="expression" dxfId="6" priority="3">
      <formula>$G2="BTT"</formula>
    </cfRule>
  </conditionalFormatting>
  <conditionalFormatting sqref="A2:G31">
    <cfRule type="expression" dxfId="7" priority="4">
      <formula>$G2="R"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546</v>
      </c>
      <c r="B1" s="7" t="s">
        <v>563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7</v>
      </c>
    </row>
    <row r="2">
      <c r="A2" s="7" t="s">
        <v>281</v>
      </c>
      <c r="B2" s="72">
        <f>IFERROR(VLOOKUP(A2, 'Current Decisions'!A:G, 7, FALSE), "")</f>
        <v>67.5</v>
      </c>
      <c r="C2" s="8">
        <v>3.0</v>
      </c>
      <c r="D2" s="7">
        <v>3.0</v>
      </c>
      <c r="E2" s="8">
        <v>3.0</v>
      </c>
      <c r="F2" s="7">
        <v>3.0</v>
      </c>
      <c r="G2" s="7" t="s">
        <v>564</v>
      </c>
    </row>
    <row r="3">
      <c r="A3" s="7" t="s">
        <v>191</v>
      </c>
      <c r="B3" s="72">
        <f>IFERROR(VLOOKUP(A3, 'Current Decisions'!A:G, 7, FALSE), "")</f>
        <v>53.5</v>
      </c>
      <c r="C3" s="8">
        <v>2.0</v>
      </c>
      <c r="D3" s="72">
        <f t="shared" ref="D3:D5" si="1">C3</f>
        <v>2</v>
      </c>
      <c r="E3" s="8">
        <v>2.0</v>
      </c>
      <c r="F3" s="72">
        <f t="shared" ref="F3:F5" si="2">E3</f>
        <v>2</v>
      </c>
      <c r="G3" s="7" t="s">
        <v>564</v>
      </c>
    </row>
    <row r="4">
      <c r="A4" s="7" t="s">
        <v>46</v>
      </c>
      <c r="B4" s="72">
        <f>IFERROR(VLOOKUP(A4, 'Current Decisions'!A:G, 7, FALSE), "")</f>
        <v>49.7</v>
      </c>
      <c r="C4" s="8">
        <v>4.0</v>
      </c>
      <c r="D4" s="72">
        <f t="shared" si="1"/>
        <v>4</v>
      </c>
      <c r="E4" s="8">
        <v>0.0</v>
      </c>
      <c r="F4" s="72">
        <f t="shared" si="2"/>
        <v>0</v>
      </c>
      <c r="G4" s="7" t="s">
        <v>564</v>
      </c>
    </row>
    <row r="5">
      <c r="A5" s="7" t="s">
        <v>196</v>
      </c>
      <c r="B5" s="72">
        <f>IFERROR(VLOOKUP(A5, 'Current Decisions'!A:G, 7, FALSE), "")</f>
        <v>31</v>
      </c>
      <c r="C5" s="8">
        <v>1.0</v>
      </c>
      <c r="D5" s="72">
        <f t="shared" si="1"/>
        <v>1</v>
      </c>
      <c r="E5" s="8">
        <v>0.0</v>
      </c>
      <c r="F5" s="72">
        <f t="shared" si="2"/>
        <v>0</v>
      </c>
      <c r="G5" s="7" t="s">
        <v>564</v>
      </c>
    </row>
    <row r="6">
      <c r="A6" s="7" t="s">
        <v>278</v>
      </c>
      <c r="B6" s="72">
        <f>IFERROR(VLOOKUP(A6, 'Current Decisions'!A:G, 7, FALSE), "")</f>
        <v>25.3</v>
      </c>
      <c r="C6" s="8">
        <v>1.0</v>
      </c>
      <c r="D6" s="7">
        <v>1.0</v>
      </c>
      <c r="E6" s="8">
        <v>1.0</v>
      </c>
      <c r="F6" s="7">
        <v>1.0</v>
      </c>
      <c r="G6" s="7" t="s">
        <v>564</v>
      </c>
    </row>
    <row r="7">
      <c r="A7" s="7" t="s">
        <v>337</v>
      </c>
      <c r="B7" s="72">
        <f>IFERROR(VLOOKUP(A7, 'Current Decisions'!A:G, 7, FALSE), "")</f>
        <v>22.5</v>
      </c>
      <c r="C7" s="7">
        <v>1.0</v>
      </c>
      <c r="D7" s="7">
        <v>0.0</v>
      </c>
      <c r="E7" s="7">
        <v>0.0</v>
      </c>
      <c r="F7" s="7">
        <v>1.0</v>
      </c>
      <c r="G7" s="7" t="s">
        <v>573</v>
      </c>
    </row>
    <row r="8">
      <c r="A8" s="7" t="s">
        <v>229</v>
      </c>
      <c r="B8" s="72">
        <f>IFERROR(VLOOKUP(A8, 'Current Decisions'!A:G, 7, FALSE), "")</f>
        <v>21.4</v>
      </c>
      <c r="C8" s="8">
        <v>1.0</v>
      </c>
      <c r="D8" s="72">
        <f t="shared" ref="D8:D10" si="3">C8</f>
        <v>1</v>
      </c>
      <c r="E8" s="8">
        <v>1.0</v>
      </c>
      <c r="F8" s="72">
        <f t="shared" ref="F8:F10" si="4">E8</f>
        <v>1</v>
      </c>
      <c r="G8" s="7" t="s">
        <v>564</v>
      </c>
    </row>
    <row r="9">
      <c r="A9" s="7" t="s">
        <v>70</v>
      </c>
      <c r="B9" s="72">
        <f>IFERROR(VLOOKUP(A9, 'Current Decisions'!A:G, 7, FALSE), "")</f>
        <v>20.3</v>
      </c>
      <c r="C9" s="8">
        <v>1.0</v>
      </c>
      <c r="D9" s="72">
        <f t="shared" si="3"/>
        <v>1</v>
      </c>
      <c r="E9" s="8">
        <v>1.0</v>
      </c>
      <c r="F9" s="72">
        <f t="shared" si="4"/>
        <v>1</v>
      </c>
      <c r="G9" s="7" t="s">
        <v>564</v>
      </c>
    </row>
    <row r="10">
      <c r="A10" s="7" t="s">
        <v>166</v>
      </c>
      <c r="B10" s="72">
        <f>IFERROR(VLOOKUP(A10, 'Current Decisions'!A:G, 7, FALSE), "")</f>
        <v>16.5</v>
      </c>
      <c r="C10" s="8">
        <v>2.0</v>
      </c>
      <c r="D10" s="72">
        <f t="shared" si="3"/>
        <v>2</v>
      </c>
      <c r="E10" s="8">
        <v>2.0</v>
      </c>
      <c r="F10" s="72">
        <f t="shared" si="4"/>
        <v>2</v>
      </c>
      <c r="G10" s="7" t="s">
        <v>564</v>
      </c>
    </row>
    <row r="11">
      <c r="A11" s="102" t="s">
        <v>94</v>
      </c>
      <c r="B11" s="150">
        <f>IFERROR(VLOOKUP(A11, 'Current Decisions'!A:G, 7, FALSE), "")</f>
        <v>15</v>
      </c>
      <c r="C11" s="119">
        <v>1.0</v>
      </c>
      <c r="D11" s="102">
        <v>1.0</v>
      </c>
      <c r="E11" s="119">
        <v>0.0</v>
      </c>
      <c r="F11" s="102">
        <v>0.0</v>
      </c>
      <c r="G11" s="102" t="s">
        <v>564</v>
      </c>
    </row>
    <row r="12">
      <c r="A12" s="7" t="s">
        <v>212</v>
      </c>
      <c r="B12" s="72">
        <f>IFERROR(VLOOKUP(A12, 'Current Decisions'!A:G, 7, FALSE), "")</f>
        <v>6</v>
      </c>
      <c r="C12" s="8">
        <v>1.0</v>
      </c>
      <c r="D12" s="7">
        <v>1.0</v>
      </c>
      <c r="E12" s="8">
        <v>0.0</v>
      </c>
      <c r="F12" s="72">
        <f>E12</f>
        <v>0</v>
      </c>
      <c r="G12" s="7" t="s">
        <v>564</v>
      </c>
    </row>
    <row r="13">
      <c r="A13" s="7" t="s">
        <v>452</v>
      </c>
      <c r="B13" s="72">
        <f>IFERROR(VLOOKUP(A13, 'Current Decisions'!A:G, 7, FALSE), "")</f>
        <v>22.42</v>
      </c>
      <c r="C13" s="7">
        <v>0.0</v>
      </c>
      <c r="D13" s="7">
        <v>0.0</v>
      </c>
      <c r="E13" s="7">
        <v>1.0</v>
      </c>
      <c r="F13" s="7">
        <v>1.0</v>
      </c>
      <c r="G13" s="7" t="s">
        <v>573</v>
      </c>
    </row>
    <row r="14">
      <c r="A14" s="7" t="s">
        <v>467</v>
      </c>
      <c r="B14" s="72">
        <f>IFERROR(VLOOKUP(A14, 'Current Decisions'!A:G, 7, FALSE), "")</f>
        <v>33.8</v>
      </c>
      <c r="C14" s="7">
        <v>0.0</v>
      </c>
      <c r="D14" s="7">
        <v>0.0</v>
      </c>
      <c r="E14" s="8">
        <v>1.0</v>
      </c>
      <c r="F14" s="7">
        <v>1.0</v>
      </c>
      <c r="G14" s="7" t="s">
        <v>573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607</v>
      </c>
    </row>
    <row r="2">
      <c r="A2" s="1" t="s">
        <v>569</v>
      </c>
      <c r="B2" s="2" t="s">
        <v>1</v>
      </c>
      <c r="C2" s="1" t="s">
        <v>608</v>
      </c>
      <c r="D2" s="1" t="s">
        <v>3</v>
      </c>
      <c r="E2" s="2" t="s">
        <v>4</v>
      </c>
      <c r="F2" s="2" t="s">
        <v>5</v>
      </c>
      <c r="G2" s="2" t="s">
        <v>563</v>
      </c>
      <c r="H2" s="1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B3" s="151"/>
      <c r="C3" s="16"/>
      <c r="N3" s="12"/>
    </row>
    <row r="4">
      <c r="B4" s="151"/>
      <c r="C4" s="16"/>
      <c r="N4" s="12"/>
    </row>
    <row r="5">
      <c r="B5" s="32"/>
      <c r="C5" s="16"/>
      <c r="N5" s="12"/>
    </row>
    <row r="6">
      <c r="B6" s="151"/>
      <c r="C6" s="16"/>
      <c r="N6" s="12"/>
    </row>
    <row r="7">
      <c r="B7" s="32"/>
      <c r="C7" s="16"/>
      <c r="N7" s="12"/>
    </row>
    <row r="8">
      <c r="B8" s="151"/>
      <c r="C8" s="16"/>
      <c r="N8" s="152"/>
    </row>
    <row r="9">
      <c r="B9" s="151"/>
      <c r="C9" s="16"/>
      <c r="N9" s="12"/>
    </row>
    <row r="10">
      <c r="B10" s="32"/>
      <c r="C10" s="18"/>
      <c r="N10" s="12"/>
    </row>
    <row r="11">
      <c r="B11" s="151"/>
      <c r="C11" s="16"/>
      <c r="N11" s="152"/>
    </row>
    <row r="12">
      <c r="B12" s="151"/>
      <c r="C12" s="16"/>
      <c r="N12" s="12"/>
    </row>
    <row r="13">
      <c r="B13" s="151"/>
      <c r="C13" s="16"/>
      <c r="N13" s="12"/>
    </row>
    <row r="14">
      <c r="B14" s="151"/>
      <c r="C14" s="16"/>
      <c r="N14" s="12"/>
    </row>
    <row r="15">
      <c r="B15" s="151"/>
      <c r="C15" s="16"/>
      <c r="N15" s="12"/>
    </row>
    <row r="16">
      <c r="B16" s="151"/>
      <c r="C16" s="16"/>
      <c r="N16" s="12"/>
    </row>
    <row r="17">
      <c r="B17" s="151"/>
      <c r="C17" s="16"/>
      <c r="N17" s="12"/>
    </row>
    <row r="18">
      <c r="B18" s="32"/>
      <c r="N18" s="12"/>
    </row>
    <row r="19">
      <c r="B19" s="32"/>
    </row>
    <row r="20">
      <c r="B20" s="151"/>
    </row>
  </sheetData>
  <conditionalFormatting sqref="A3:I18 A20:I20">
    <cfRule type="expression" dxfId="0" priority="1">
      <formula>$H3 &gt; 6</formula>
    </cfRule>
  </conditionalFormatting>
  <conditionalFormatting sqref="A3:I18 A20:I20">
    <cfRule type="cellIs" dxfId="9" priority="2" operator="lessThan">
      <formula>-1</formula>
    </cfRule>
  </conditionalFormatting>
  <conditionalFormatting sqref="A3:I18 A20:I20">
    <cfRule type="expression" dxfId="1" priority="3">
      <formula>$I3="C"</formula>
    </cfRule>
  </conditionalFormatting>
  <conditionalFormatting sqref="A3:I18 A20:I20">
    <cfRule type="expression" dxfId="4" priority="4">
      <formula>$G3 &gt; 30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548</v>
      </c>
      <c r="B1" s="1" t="s">
        <v>608</v>
      </c>
      <c r="C1" s="1" t="s">
        <v>3</v>
      </c>
      <c r="D1" s="2" t="s">
        <v>4</v>
      </c>
      <c r="E1" s="2" t="s">
        <v>5</v>
      </c>
      <c r="F1" s="2" t="s">
        <v>563</v>
      </c>
      <c r="G1" s="2" t="s">
        <v>7</v>
      </c>
      <c r="H1" s="2" t="s">
        <v>9</v>
      </c>
      <c r="I1" s="2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B2" s="19"/>
      <c r="K2" s="23"/>
      <c r="L2" s="23"/>
    </row>
    <row r="4">
      <c r="B4" s="19"/>
    </row>
    <row r="7">
      <c r="B7" s="19"/>
    </row>
    <row r="11" hidden="1">
      <c r="A11" s="7" t="s">
        <v>171</v>
      </c>
      <c r="B11" s="7">
        <v>17.4</v>
      </c>
      <c r="C11" s="8">
        <v>15.0</v>
      </c>
      <c r="D11" s="7">
        <v>5.3</v>
      </c>
      <c r="E11" s="8">
        <v>15.0</v>
      </c>
      <c r="F11" s="72">
        <f>SUM(B11 + C11 + D11 + E11)</f>
        <v>52.7</v>
      </c>
      <c r="G11" s="72"/>
      <c r="J11" s="24"/>
    </row>
    <row r="15">
      <c r="J15" s="153"/>
    </row>
    <row r="27">
      <c r="J27" s="153"/>
    </row>
    <row r="32">
      <c r="B32" s="19"/>
    </row>
    <row r="33">
      <c r="B33" s="19"/>
    </row>
    <row r="34">
      <c r="B34" s="19"/>
    </row>
    <row r="38">
      <c r="J38" s="153"/>
    </row>
    <row r="40" hidden="1">
      <c r="A40" s="7" t="s">
        <v>121</v>
      </c>
      <c r="B40" s="8">
        <v>10.0</v>
      </c>
      <c r="C40" s="8">
        <v>15.0</v>
      </c>
      <c r="D40" s="8">
        <v>9.75</v>
      </c>
      <c r="E40" s="8">
        <v>5.0</v>
      </c>
      <c r="F40" s="72">
        <f>SUM(B40 + C40 + D40 + E40)</f>
        <v>39.75</v>
      </c>
      <c r="G40" s="7" t="s">
        <v>609</v>
      </c>
      <c r="H40" s="145">
        <v>0.0</v>
      </c>
      <c r="I40" s="72">
        <v>0.0</v>
      </c>
    </row>
    <row r="45">
      <c r="B45" s="19"/>
      <c r="J45" s="154"/>
    </row>
    <row r="48">
      <c r="B48" s="19"/>
      <c r="K48" s="23"/>
      <c r="L48" s="23"/>
    </row>
    <row r="49">
      <c r="B49" s="19"/>
      <c r="K49" s="23"/>
      <c r="L49" s="23"/>
    </row>
    <row r="50">
      <c r="J50" s="153"/>
    </row>
    <row r="54">
      <c r="B54" s="19"/>
    </row>
    <row r="57" hidden="1">
      <c r="A57" s="7" t="s">
        <v>230</v>
      </c>
      <c r="B57" s="7">
        <v>4.0</v>
      </c>
      <c r="C57" s="8">
        <v>15.0</v>
      </c>
      <c r="D57" s="8">
        <v>11.3</v>
      </c>
      <c r="E57" s="8">
        <v>5.0</v>
      </c>
      <c r="F57" s="72">
        <f>SUM(B57 + C57 + D57 + E57)</f>
        <v>35.3</v>
      </c>
      <c r="G57" s="7" t="s">
        <v>577</v>
      </c>
      <c r="H57" s="145">
        <v>0.0</v>
      </c>
      <c r="I57" s="7">
        <v>0.0</v>
      </c>
      <c r="J57" s="153"/>
    </row>
    <row r="62">
      <c r="J62" s="153"/>
    </row>
    <row r="63">
      <c r="A63" s="14"/>
      <c r="B63" s="28"/>
      <c r="C63" s="16"/>
      <c r="D63" s="16"/>
    </row>
    <row r="65">
      <c r="B65" s="14"/>
      <c r="E65" s="16"/>
    </row>
    <row r="70">
      <c r="B70" s="19"/>
    </row>
    <row r="71" hidden="1">
      <c r="A71" s="7" t="s">
        <v>610</v>
      </c>
      <c r="B71" s="7">
        <v>14.5</v>
      </c>
      <c r="C71" s="8">
        <v>15.0</v>
      </c>
      <c r="D71" s="7">
        <v>3.8</v>
      </c>
      <c r="E71" s="8">
        <v>0.0</v>
      </c>
      <c r="F71" s="72">
        <f>SUM(B71 + C71 + D71 + E71)</f>
        <v>33.3</v>
      </c>
      <c r="G71" s="72"/>
      <c r="J71" s="24"/>
    </row>
    <row r="73">
      <c r="A73" s="14"/>
      <c r="B73" s="28"/>
      <c r="C73" s="16"/>
      <c r="D73" s="16"/>
    </row>
    <row r="76">
      <c r="B76" s="19"/>
    </row>
    <row r="78">
      <c r="B78" s="19"/>
    </row>
    <row r="83" hidden="1">
      <c r="A83" s="7" t="s">
        <v>611</v>
      </c>
      <c r="B83" s="7">
        <v>5.0</v>
      </c>
      <c r="C83" s="8">
        <v>15.0</v>
      </c>
      <c r="D83" s="7">
        <v>7.5</v>
      </c>
      <c r="E83" s="8">
        <v>5.0</v>
      </c>
      <c r="F83" s="72">
        <f>SUM(B83 + C83 + D83 + E83)</f>
        <v>32.5</v>
      </c>
      <c r="G83" s="7" t="s">
        <v>577</v>
      </c>
      <c r="H83" s="145">
        <v>0.0</v>
      </c>
      <c r="I83" s="145">
        <v>0.0</v>
      </c>
    </row>
    <row r="84">
      <c r="B84" s="19"/>
    </row>
    <row r="88">
      <c r="B88" s="19"/>
    </row>
    <row r="91" hidden="1">
      <c r="A91" s="145" t="s">
        <v>612</v>
      </c>
      <c r="B91" s="8">
        <v>4.2</v>
      </c>
      <c r="C91" s="8">
        <v>15.0</v>
      </c>
      <c r="D91" s="72">
        <v>7.5</v>
      </c>
      <c r="E91" s="8">
        <v>5.0</v>
      </c>
      <c r="F91" s="72">
        <f>SUM(B91 + C91 + D91 + E91)</f>
        <v>31.7</v>
      </c>
      <c r="G91" s="7" t="s">
        <v>613</v>
      </c>
      <c r="H91" s="7">
        <v>0.0</v>
      </c>
      <c r="I91" s="145">
        <v>0.0</v>
      </c>
    </row>
    <row r="94">
      <c r="B94" s="19"/>
      <c r="K94" s="23"/>
    </row>
    <row r="97">
      <c r="B97" s="19"/>
    </row>
    <row r="99" hidden="1">
      <c r="A99" s="7" t="s">
        <v>614</v>
      </c>
      <c r="B99" s="7">
        <v>4.4</v>
      </c>
      <c r="C99" s="8">
        <v>15.0</v>
      </c>
      <c r="D99" s="21">
        <v>6.7</v>
      </c>
      <c r="E99" s="8">
        <v>5.0</v>
      </c>
      <c r="F99" s="155">
        <f>SUM(B99 + C99 + D99 + E99)</f>
        <v>31.1</v>
      </c>
      <c r="G99" s="7" t="s">
        <v>577</v>
      </c>
      <c r="H99" s="7">
        <v>0.0</v>
      </c>
      <c r="I99" s="7">
        <v>0.0</v>
      </c>
    </row>
    <row r="106" hidden="1">
      <c r="A106" s="145" t="s">
        <v>615</v>
      </c>
      <c r="B106" s="8">
        <v>0.0</v>
      </c>
      <c r="C106" s="8">
        <v>15.0</v>
      </c>
      <c r="D106" s="72">
        <v>10.5</v>
      </c>
      <c r="E106" s="8">
        <v>5.0</v>
      </c>
      <c r="F106" s="72">
        <f>SUM(B106 + C106 + D106 + E106)</f>
        <v>30.5</v>
      </c>
      <c r="G106" s="7" t="s">
        <v>609</v>
      </c>
      <c r="H106" s="145">
        <v>0.0</v>
      </c>
      <c r="I106" s="145">
        <v>0.0</v>
      </c>
    </row>
    <row r="108" hidden="1">
      <c r="A108" s="7" t="s">
        <v>282</v>
      </c>
      <c r="B108" s="7">
        <v>18.8</v>
      </c>
      <c r="C108" s="8">
        <v>0.0</v>
      </c>
      <c r="D108" s="7">
        <v>6.7</v>
      </c>
      <c r="E108" s="8">
        <v>5.0</v>
      </c>
      <c r="F108" s="72">
        <f>SUM(B108 + C108 + D108 + E108)</f>
        <v>30.5</v>
      </c>
      <c r="G108" s="72"/>
      <c r="J108" s="24"/>
    </row>
    <row r="114">
      <c r="D114" s="21"/>
    </row>
    <row r="124">
      <c r="B124" s="19"/>
    </row>
    <row r="127">
      <c r="B127" s="19"/>
    </row>
    <row r="128" hidden="1">
      <c r="A128" s="7" t="s">
        <v>413</v>
      </c>
      <c r="B128" s="8">
        <v>0.0</v>
      </c>
      <c r="C128" s="8">
        <v>15.0</v>
      </c>
      <c r="D128" s="8">
        <v>9.0</v>
      </c>
      <c r="E128" s="8">
        <v>5.0</v>
      </c>
      <c r="F128" s="72">
        <f>SUM(B128 + C128 + D128 + E128)</f>
        <v>29</v>
      </c>
      <c r="G128" s="7" t="s">
        <v>609</v>
      </c>
      <c r="H128" s="7">
        <v>0.0</v>
      </c>
      <c r="I128" s="145">
        <v>0.0</v>
      </c>
    </row>
    <row r="131">
      <c r="A131" s="14"/>
      <c r="B131" s="28"/>
      <c r="C131" s="16"/>
      <c r="D131" s="13"/>
    </row>
    <row r="136">
      <c r="B136" s="19"/>
    </row>
    <row r="138">
      <c r="B138" s="19"/>
    </row>
    <row r="143" hidden="1">
      <c r="A143" s="7" t="s">
        <v>616</v>
      </c>
      <c r="B143" s="7">
        <v>0.0</v>
      </c>
      <c r="C143" s="8">
        <v>15.0</v>
      </c>
      <c r="D143" s="7">
        <v>12.8</v>
      </c>
      <c r="E143" s="8">
        <v>0.0</v>
      </c>
      <c r="F143" s="72">
        <f>SUM(B143 + C143 + D143 + E143)</f>
        <v>27.8</v>
      </c>
    </row>
    <row r="146" hidden="1">
      <c r="A146" s="7" t="s">
        <v>617</v>
      </c>
      <c r="B146" s="7">
        <v>0.0</v>
      </c>
      <c r="C146" s="8">
        <v>15.0</v>
      </c>
      <c r="D146" s="7">
        <v>7.5</v>
      </c>
      <c r="E146" s="8">
        <v>5.0</v>
      </c>
      <c r="F146" s="72">
        <f t="shared" ref="F146:F147" si="1">SUM(B146 + C146 + D146 + E146)</f>
        <v>27.5</v>
      </c>
      <c r="G146" s="7" t="s">
        <v>577</v>
      </c>
      <c r="H146" s="145">
        <v>0.0</v>
      </c>
      <c r="I146" s="145">
        <v>0.0</v>
      </c>
    </row>
    <row r="147" hidden="1">
      <c r="A147" s="7" t="s">
        <v>340</v>
      </c>
      <c r="B147" s="7">
        <v>0.0</v>
      </c>
      <c r="C147" s="8">
        <v>15.0</v>
      </c>
      <c r="D147" s="21">
        <v>7.5</v>
      </c>
      <c r="E147" s="8">
        <v>5.0</v>
      </c>
      <c r="F147" s="155">
        <f t="shared" si="1"/>
        <v>27.5</v>
      </c>
      <c r="G147" s="7" t="s">
        <v>577</v>
      </c>
      <c r="H147" s="7">
        <v>0.0</v>
      </c>
      <c r="I147" s="7">
        <v>0.0</v>
      </c>
    </row>
    <row r="151">
      <c r="B151" s="19"/>
      <c r="K151" s="23"/>
      <c r="L151" s="23"/>
    </row>
    <row r="152">
      <c r="B152" s="19"/>
    </row>
    <row r="157" hidden="1">
      <c r="A157" s="7" t="s">
        <v>618</v>
      </c>
      <c r="B157" s="19">
        <v>15.348895304407568</v>
      </c>
      <c r="C157" s="8">
        <v>0.0</v>
      </c>
      <c r="D157" s="7">
        <v>6.0</v>
      </c>
      <c r="E157" s="7">
        <v>5.0</v>
      </c>
      <c r="F157" s="97">
        <f t="shared" ref="F157:F158" si="2">SUM(B157 + C157 + D157 + E157)</f>
        <v>26.3488953</v>
      </c>
      <c r="G157" s="7" t="s">
        <v>577</v>
      </c>
      <c r="H157" s="7">
        <v>0.0</v>
      </c>
      <c r="I157" s="7">
        <v>0.0</v>
      </c>
      <c r="K157" s="23"/>
      <c r="L157" s="23"/>
    </row>
    <row r="158" hidden="1">
      <c r="A158" s="7" t="s">
        <v>619</v>
      </c>
      <c r="B158" s="19">
        <v>16.020599913279625</v>
      </c>
      <c r="C158" s="8">
        <v>0.0</v>
      </c>
      <c r="D158" s="7">
        <v>5.3</v>
      </c>
      <c r="E158" s="8">
        <v>5.0</v>
      </c>
      <c r="F158" s="97">
        <f t="shared" si="2"/>
        <v>26.32059991</v>
      </c>
      <c r="G158" s="7" t="s">
        <v>577</v>
      </c>
      <c r="H158" s="7">
        <v>0.0</v>
      </c>
      <c r="I158" s="7">
        <v>0.0</v>
      </c>
    </row>
    <row r="160">
      <c r="B160" s="19"/>
    </row>
    <row r="161">
      <c r="B161" s="19"/>
    </row>
    <row r="163" hidden="1">
      <c r="A163" s="7" t="s">
        <v>620</v>
      </c>
      <c r="B163" s="7">
        <v>1.6</v>
      </c>
      <c r="C163" s="8">
        <v>15.0</v>
      </c>
      <c r="D163" s="7">
        <v>4.5</v>
      </c>
      <c r="E163" s="8">
        <v>5.0</v>
      </c>
      <c r="F163" s="72">
        <f>SUM(B163 + C163 + D163 + E163)</f>
        <v>26.1</v>
      </c>
      <c r="J163" s="24"/>
    </row>
    <row r="164">
      <c r="B164" s="19"/>
    </row>
    <row r="166" hidden="1">
      <c r="A166" s="145" t="s">
        <v>103</v>
      </c>
      <c r="B166" s="145">
        <v>18.0</v>
      </c>
      <c r="C166" s="72">
        <v>0.0</v>
      </c>
      <c r="D166" s="72">
        <v>3.0</v>
      </c>
      <c r="E166" s="72">
        <v>5.0</v>
      </c>
      <c r="F166" s="72">
        <f>SUM(B166 + C166 + D166 + E166)</f>
        <v>26</v>
      </c>
      <c r="G166" s="7" t="s">
        <v>577</v>
      </c>
      <c r="H166" s="7">
        <v>0.0</v>
      </c>
      <c r="I166" s="7">
        <v>0.0</v>
      </c>
    </row>
    <row r="168">
      <c r="B168" s="19"/>
    </row>
    <row r="169">
      <c r="B169" s="19"/>
    </row>
    <row r="174" hidden="1">
      <c r="A174" s="7" t="s">
        <v>621</v>
      </c>
      <c r="B174" s="19">
        <v>14.911582348460328</v>
      </c>
      <c r="C174" s="8">
        <v>0.0</v>
      </c>
      <c r="D174" s="7">
        <v>10.5</v>
      </c>
      <c r="E174" s="8">
        <v>0.0</v>
      </c>
      <c r="F174" s="97">
        <f>SUM(B174 + C174 + D174 + E174)</f>
        <v>25.41158235</v>
      </c>
      <c r="G174" s="7" t="s">
        <v>577</v>
      </c>
      <c r="H174" s="7">
        <v>0.0</v>
      </c>
      <c r="I174" s="7">
        <v>0.0</v>
      </c>
    </row>
    <row r="176" hidden="1">
      <c r="A176" s="7" t="s">
        <v>148</v>
      </c>
      <c r="B176" s="7">
        <v>0.0</v>
      </c>
      <c r="C176" s="8">
        <v>15.0</v>
      </c>
      <c r="D176" s="7">
        <v>5.3</v>
      </c>
      <c r="E176" s="8">
        <v>5.0</v>
      </c>
      <c r="F176" s="72">
        <f>SUM(B176 + C176 + D176 + E176)</f>
        <v>25.3</v>
      </c>
    </row>
    <row r="185">
      <c r="D185" s="21"/>
    </row>
    <row r="186" hidden="1">
      <c r="A186" s="7" t="s">
        <v>622</v>
      </c>
      <c r="B186" s="7">
        <v>15.6</v>
      </c>
      <c r="C186" s="8">
        <v>0.0</v>
      </c>
      <c r="D186" s="7">
        <v>9.0</v>
      </c>
      <c r="E186" s="8">
        <v>0.0</v>
      </c>
      <c r="F186" s="72">
        <f>SUM(B186 + C186 + D186 + E186)</f>
        <v>24.6</v>
      </c>
      <c r="J186" s="24"/>
    </row>
    <row r="189" hidden="1">
      <c r="A189" s="7" t="s">
        <v>623</v>
      </c>
      <c r="B189" s="8">
        <v>13.3</v>
      </c>
      <c r="C189" s="8">
        <v>0.0</v>
      </c>
      <c r="D189" s="8">
        <v>6.0</v>
      </c>
      <c r="E189" s="8">
        <v>5.0</v>
      </c>
      <c r="F189" s="72">
        <f>SUM(B189 + C189 + D189 + E189)</f>
        <v>24.3</v>
      </c>
      <c r="G189" s="7" t="s">
        <v>613</v>
      </c>
      <c r="H189" s="7">
        <v>0.0</v>
      </c>
      <c r="I189" s="145">
        <v>0.0</v>
      </c>
    </row>
    <row r="192">
      <c r="D192" s="21"/>
    </row>
    <row r="193" hidden="1">
      <c r="A193" s="7" t="s">
        <v>106</v>
      </c>
      <c r="B193" s="7">
        <v>12.4</v>
      </c>
      <c r="C193" s="8">
        <v>0.0</v>
      </c>
      <c r="D193" s="7">
        <v>6.7</v>
      </c>
      <c r="E193" s="8">
        <v>5.0</v>
      </c>
      <c r="F193" s="72">
        <f>SUM(B193 + C193 + D193 + E193)</f>
        <v>24.1</v>
      </c>
      <c r="J193" s="24"/>
    </row>
    <row r="194">
      <c r="B194" s="19"/>
    </row>
    <row r="195" hidden="1">
      <c r="A195" s="7" t="s">
        <v>624</v>
      </c>
      <c r="B195" s="19">
        <v>0.0</v>
      </c>
      <c r="C195" s="8">
        <v>15.0</v>
      </c>
      <c r="D195" s="7">
        <v>9.0</v>
      </c>
      <c r="E195" s="8">
        <v>0.0</v>
      </c>
      <c r="F195" s="97">
        <f>SUM(B195 + C195 + D195 + E195)</f>
        <v>24</v>
      </c>
      <c r="G195" s="7" t="s">
        <v>577</v>
      </c>
      <c r="H195" s="7">
        <v>0.0</v>
      </c>
      <c r="I195" s="7">
        <v>0.0</v>
      </c>
      <c r="K195" s="23"/>
    </row>
    <row r="196">
      <c r="J196" s="153"/>
    </row>
    <row r="199">
      <c r="B199" s="19"/>
    </row>
    <row r="202">
      <c r="A202" s="14"/>
      <c r="B202" s="14"/>
      <c r="C202" s="16"/>
      <c r="D202" s="13"/>
    </row>
    <row r="203" hidden="1">
      <c r="A203" s="7" t="s">
        <v>625</v>
      </c>
      <c r="B203" s="7">
        <v>12.3</v>
      </c>
      <c r="C203" s="8">
        <v>0.0</v>
      </c>
      <c r="D203" s="7">
        <v>6.0</v>
      </c>
      <c r="E203" s="8">
        <v>5.0</v>
      </c>
      <c r="F203" s="72">
        <f>SUM(B203 + C203 + D203 + E203)</f>
        <v>23.3</v>
      </c>
      <c r="J203" s="24"/>
    </row>
    <row r="206" hidden="1">
      <c r="A206" s="7" t="s">
        <v>626</v>
      </c>
      <c r="B206" s="19">
        <v>12.808487663269963</v>
      </c>
      <c r="C206" s="8">
        <v>0.0</v>
      </c>
      <c r="D206" s="7">
        <v>5.3</v>
      </c>
      <c r="E206" s="8">
        <v>5.0</v>
      </c>
      <c r="F206" s="97">
        <f>SUM(B206 + C206 + D206 + E206)</f>
        <v>23.10848766</v>
      </c>
      <c r="G206" s="7" t="s">
        <v>577</v>
      </c>
      <c r="H206" s="7">
        <v>0.0</v>
      </c>
      <c r="I206" s="7">
        <v>0.0</v>
      </c>
      <c r="K206" s="23"/>
      <c r="L206" s="23"/>
    </row>
    <row r="208" hidden="1">
      <c r="A208" s="7" t="s">
        <v>627</v>
      </c>
      <c r="B208" s="7">
        <v>2.0</v>
      </c>
      <c r="C208" s="8">
        <v>15.0</v>
      </c>
      <c r="D208" s="7">
        <v>6.0</v>
      </c>
      <c r="E208" s="8">
        <v>0.0</v>
      </c>
      <c r="F208" s="72">
        <f t="shared" ref="F208:F209" si="3">SUM(B208 + C208 + D208 + E208)</f>
        <v>23</v>
      </c>
      <c r="G208" s="7" t="s">
        <v>577</v>
      </c>
      <c r="H208" s="145">
        <v>0.0</v>
      </c>
      <c r="I208" s="145">
        <v>0.0</v>
      </c>
    </row>
    <row r="209" hidden="1">
      <c r="A209" s="145" t="s">
        <v>212</v>
      </c>
      <c r="B209" s="145">
        <v>2.0</v>
      </c>
      <c r="C209" s="72">
        <v>15.0</v>
      </c>
      <c r="D209" s="72">
        <v>6.0</v>
      </c>
      <c r="E209" s="72">
        <v>0.0</v>
      </c>
      <c r="F209" s="72">
        <f t="shared" si="3"/>
        <v>23</v>
      </c>
      <c r="G209" s="7" t="s">
        <v>577</v>
      </c>
      <c r="H209" s="7">
        <v>0.0</v>
      </c>
      <c r="I209" s="7">
        <v>0.0</v>
      </c>
    </row>
    <row r="210">
      <c r="B210" s="19"/>
    </row>
    <row r="211" hidden="1">
      <c r="A211" s="7" t="s">
        <v>628</v>
      </c>
      <c r="B211" s="19">
        <v>11.227563339070752</v>
      </c>
      <c r="C211" s="8">
        <v>0.0</v>
      </c>
      <c r="D211" s="7">
        <v>6.7</v>
      </c>
      <c r="E211" s="8">
        <v>5.0</v>
      </c>
      <c r="F211" s="97">
        <f>SUM(B211 + C211 + D211 + E211)</f>
        <v>22.92756334</v>
      </c>
      <c r="G211" s="7" t="s">
        <v>577</v>
      </c>
      <c r="H211" s="7">
        <v>0.0</v>
      </c>
      <c r="I211" s="7">
        <v>0.0</v>
      </c>
      <c r="K211" s="23"/>
      <c r="L211" s="23"/>
    </row>
    <row r="212">
      <c r="B212" s="19"/>
    </row>
    <row r="213" hidden="1">
      <c r="A213" s="7" t="s">
        <v>629</v>
      </c>
      <c r="B213" s="7">
        <v>11.1</v>
      </c>
      <c r="C213" s="8">
        <v>0.0</v>
      </c>
      <c r="D213" s="7">
        <v>6.7</v>
      </c>
      <c r="E213" s="7">
        <v>5.0</v>
      </c>
      <c r="F213" s="72">
        <f>SUM(B213 + C213 + D213 + E213)</f>
        <v>22.8</v>
      </c>
      <c r="J213" s="24"/>
    </row>
    <row r="216">
      <c r="B216" s="19"/>
    </row>
    <row r="229">
      <c r="J229" s="153"/>
    </row>
    <row r="231" hidden="1">
      <c r="A231" s="7" t="s">
        <v>630</v>
      </c>
      <c r="B231" s="19">
        <v>6.505149978319906</v>
      </c>
      <c r="C231" s="8">
        <v>0.0</v>
      </c>
      <c r="D231" s="7">
        <v>10.5</v>
      </c>
      <c r="E231" s="8">
        <v>5.0</v>
      </c>
      <c r="F231" s="97">
        <f>SUM(B231 + C231 + D231 + E231)</f>
        <v>22.00514998</v>
      </c>
      <c r="G231" s="7" t="s">
        <v>577</v>
      </c>
      <c r="H231" s="145">
        <v>0.0</v>
      </c>
      <c r="I231" s="145">
        <v>0.0</v>
      </c>
    </row>
    <row r="234" hidden="1">
      <c r="A234" s="7" t="s">
        <v>84</v>
      </c>
      <c r="B234" s="8">
        <v>12.5</v>
      </c>
      <c r="C234" s="8">
        <v>0.0</v>
      </c>
      <c r="D234" s="8">
        <v>4.500000000000001</v>
      </c>
      <c r="E234" s="8">
        <v>5.0</v>
      </c>
      <c r="F234" s="72">
        <f t="shared" ref="F234:F235" si="4">SUM(B234 + C234 + D234 + E234)</f>
        <v>22</v>
      </c>
      <c r="G234" s="7" t="s">
        <v>577</v>
      </c>
      <c r="H234" s="145">
        <v>0.0</v>
      </c>
      <c r="I234" s="7">
        <v>0.0</v>
      </c>
      <c r="J234" s="153"/>
    </row>
    <row r="235" hidden="1">
      <c r="A235" s="145" t="s">
        <v>631</v>
      </c>
      <c r="B235" s="145">
        <v>16.0</v>
      </c>
      <c r="C235" s="72">
        <v>0.0</v>
      </c>
      <c r="D235" s="72">
        <v>6.0</v>
      </c>
      <c r="E235" s="72">
        <v>0.0</v>
      </c>
      <c r="F235" s="72">
        <f t="shared" si="4"/>
        <v>22</v>
      </c>
      <c r="G235" s="7" t="s">
        <v>632</v>
      </c>
    </row>
    <row r="239" hidden="1">
      <c r="A239" s="7" t="s">
        <v>422</v>
      </c>
      <c r="B239" s="7">
        <v>10.7</v>
      </c>
      <c r="C239" s="8">
        <v>0.0</v>
      </c>
      <c r="D239" s="7">
        <v>6.0</v>
      </c>
      <c r="E239" s="8">
        <v>5.0</v>
      </c>
      <c r="F239" s="72">
        <f>SUM(B239 + C239 + D239 + E239)</f>
        <v>21.7</v>
      </c>
      <c r="J239" s="23"/>
    </row>
    <row r="240">
      <c r="J240" s="153"/>
    </row>
    <row r="242" hidden="1">
      <c r="A242" s="7" t="s">
        <v>633</v>
      </c>
      <c r="B242" s="19">
        <v>15.431799153373742</v>
      </c>
      <c r="C242" s="8">
        <v>0.0</v>
      </c>
      <c r="D242" s="7">
        <v>6.0</v>
      </c>
      <c r="E242" s="8">
        <v>0.0</v>
      </c>
      <c r="F242" s="97">
        <f>SUM(B242 + C242 + D242 + E242)</f>
        <v>21.43179915</v>
      </c>
      <c r="G242" s="7" t="s">
        <v>577</v>
      </c>
      <c r="H242" s="7">
        <v>0.0</v>
      </c>
      <c r="I242" s="7">
        <v>0.0</v>
      </c>
    </row>
    <row r="243">
      <c r="B243" s="19"/>
    </row>
    <row r="244">
      <c r="B244" s="19"/>
    </row>
    <row r="246">
      <c r="B246" s="19"/>
    </row>
    <row r="256">
      <c r="B256" s="19"/>
    </row>
    <row r="262" hidden="1">
      <c r="A262" s="145" t="s">
        <v>394</v>
      </c>
      <c r="B262" s="145">
        <v>13.0</v>
      </c>
      <c r="C262" s="72">
        <v>0.0</v>
      </c>
      <c r="D262" s="72">
        <v>7.5</v>
      </c>
      <c r="E262" s="72">
        <v>0.0</v>
      </c>
      <c r="F262" s="72">
        <f>SUM(B262 + C262 + D262 + E262)</f>
        <v>20.5</v>
      </c>
      <c r="G262" s="7" t="s">
        <v>632</v>
      </c>
    </row>
    <row r="263">
      <c r="B263" s="19"/>
    </row>
    <row r="264">
      <c r="B264" s="19"/>
    </row>
    <row r="268">
      <c r="B268" s="19"/>
    </row>
    <row r="272">
      <c r="B272" s="19"/>
    </row>
    <row r="277">
      <c r="J277" s="156"/>
    </row>
    <row r="283" hidden="1">
      <c r="A283" s="7" t="s">
        <v>634</v>
      </c>
      <c r="B283" s="19">
        <v>10.0</v>
      </c>
      <c r="C283" s="8">
        <v>0.0</v>
      </c>
      <c r="D283" s="7">
        <v>9.7</v>
      </c>
      <c r="E283" s="8">
        <v>0.0</v>
      </c>
      <c r="F283" s="97">
        <f>SUM(B283 + C283 + D283 + E283)</f>
        <v>19.7</v>
      </c>
      <c r="G283" s="7" t="s">
        <v>632</v>
      </c>
    </row>
    <row r="289" hidden="1">
      <c r="A289" s="7" t="s">
        <v>356</v>
      </c>
      <c r="B289" s="7">
        <v>6.2</v>
      </c>
      <c r="C289" s="8">
        <v>0.0</v>
      </c>
      <c r="D289" s="7">
        <v>8.2</v>
      </c>
      <c r="E289" s="8">
        <v>5.0</v>
      </c>
      <c r="F289" s="72">
        <f>SUM(B289 + C289 + D289 + E289)</f>
        <v>19.4</v>
      </c>
      <c r="G289" s="7" t="s">
        <v>577</v>
      </c>
      <c r="H289" s="145">
        <v>0.0</v>
      </c>
      <c r="I289" s="145">
        <v>0.0</v>
      </c>
    </row>
    <row r="291" hidden="1">
      <c r="A291" s="7" t="s">
        <v>362</v>
      </c>
      <c r="B291" s="19">
        <v>11.7</v>
      </c>
      <c r="C291" s="8">
        <v>0.0</v>
      </c>
      <c r="D291" s="7">
        <v>7.5</v>
      </c>
      <c r="E291" s="8">
        <v>0.0</v>
      </c>
      <c r="F291" s="97">
        <f>SUM(B291 + C291 + D291 + E291)</f>
        <v>19.2</v>
      </c>
      <c r="G291" s="7" t="s">
        <v>577</v>
      </c>
      <c r="H291" s="7">
        <v>0.0</v>
      </c>
      <c r="I291" s="7">
        <v>0.0</v>
      </c>
    </row>
    <row r="293" hidden="1">
      <c r="A293" s="7" t="s">
        <v>635</v>
      </c>
      <c r="B293" s="7">
        <v>4.1</v>
      </c>
      <c r="C293" s="8">
        <v>0.0</v>
      </c>
      <c r="D293" s="7">
        <v>15.0</v>
      </c>
      <c r="E293" s="8">
        <v>0.0</v>
      </c>
      <c r="F293" s="72">
        <f>SUM(B293 + C293 + D293 + E293)</f>
        <v>19.1</v>
      </c>
      <c r="J293" s="23"/>
    </row>
    <row r="297" hidden="1">
      <c r="A297" s="7" t="s">
        <v>446</v>
      </c>
      <c r="B297" s="19">
        <v>9.472632557816745</v>
      </c>
      <c r="C297" s="8">
        <v>0.0</v>
      </c>
      <c r="D297" s="8">
        <v>4.5</v>
      </c>
      <c r="E297" s="8">
        <v>5.0</v>
      </c>
      <c r="F297" s="97">
        <f t="shared" ref="F297:F298" si="5">SUM(B297 + C297 + D297 + E297)</f>
        <v>18.97263256</v>
      </c>
      <c r="G297" s="7" t="s">
        <v>577</v>
      </c>
      <c r="H297" s="145">
        <v>0.0</v>
      </c>
      <c r="I297" s="7">
        <v>0.0</v>
      </c>
    </row>
    <row r="298" hidden="1">
      <c r="A298" s="7" t="s">
        <v>636</v>
      </c>
      <c r="B298" s="19">
        <v>10.73064017839119</v>
      </c>
      <c r="C298" s="8">
        <v>0.0</v>
      </c>
      <c r="D298" s="7">
        <v>8.2</v>
      </c>
      <c r="E298" s="8">
        <v>0.0</v>
      </c>
      <c r="F298" s="97">
        <f t="shared" si="5"/>
        <v>18.93064018</v>
      </c>
      <c r="G298" s="7" t="s">
        <v>577</v>
      </c>
      <c r="H298" s="7">
        <v>0.0</v>
      </c>
      <c r="I298" s="7">
        <v>0.0</v>
      </c>
      <c r="K298" s="23"/>
      <c r="L298" s="23"/>
    </row>
    <row r="299">
      <c r="B299" s="19"/>
    </row>
    <row r="300">
      <c r="B300" s="19"/>
    </row>
    <row r="301" hidden="1">
      <c r="A301" s="145" t="s">
        <v>637</v>
      </c>
      <c r="B301" s="8">
        <v>1.0</v>
      </c>
      <c r="C301" s="8">
        <v>0.0</v>
      </c>
      <c r="D301" s="8">
        <v>12.8</v>
      </c>
      <c r="E301" s="8">
        <v>5.0</v>
      </c>
      <c r="F301" s="72">
        <f>SUM(B301 + C301 + D301 + E301)</f>
        <v>18.8</v>
      </c>
      <c r="G301" s="7" t="s">
        <v>577</v>
      </c>
      <c r="H301" s="145">
        <v>0.0</v>
      </c>
      <c r="I301" s="145">
        <v>0.0</v>
      </c>
    </row>
    <row r="304" hidden="1">
      <c r="A304" s="7" t="s">
        <v>638</v>
      </c>
      <c r="B304" s="7">
        <v>15.0</v>
      </c>
      <c r="C304" s="8">
        <v>0.0</v>
      </c>
      <c r="D304" s="7">
        <v>3.8</v>
      </c>
      <c r="E304" s="8">
        <v>0.0</v>
      </c>
      <c r="F304" s="72">
        <f>SUM(B304 + C304 + D304 + E304)</f>
        <v>18.8</v>
      </c>
      <c r="J304" s="23"/>
    </row>
    <row r="306" hidden="1">
      <c r="A306" s="7" t="s">
        <v>639</v>
      </c>
      <c r="B306" s="8">
        <v>2.5</v>
      </c>
      <c r="C306" s="8">
        <v>0.0</v>
      </c>
      <c r="D306" s="8">
        <v>11.25</v>
      </c>
      <c r="E306" s="8">
        <v>5.0</v>
      </c>
      <c r="F306" s="72">
        <f>SUM(B306 + C306 + D306 + E306)</f>
        <v>18.75</v>
      </c>
      <c r="G306" s="7" t="s">
        <v>577</v>
      </c>
      <c r="H306" s="145">
        <v>0.0</v>
      </c>
      <c r="I306" s="145">
        <v>0.0</v>
      </c>
    </row>
    <row r="309" hidden="1">
      <c r="A309" s="7" t="s">
        <v>640</v>
      </c>
      <c r="B309" s="7">
        <v>5.5</v>
      </c>
      <c r="C309" s="8">
        <v>0.0</v>
      </c>
      <c r="D309" s="7">
        <v>8.2</v>
      </c>
      <c r="E309" s="8">
        <v>5.0</v>
      </c>
      <c r="F309" s="72">
        <f t="shared" ref="F309:F310" si="6">SUM(B309 + C309 + D309 + E309)</f>
        <v>18.7</v>
      </c>
      <c r="J309" s="24"/>
    </row>
    <row r="310" hidden="1">
      <c r="A310" s="7" t="s">
        <v>641</v>
      </c>
      <c r="B310" s="8">
        <v>5.4</v>
      </c>
      <c r="C310" s="8">
        <v>0.0</v>
      </c>
      <c r="D310" s="8">
        <v>8.25</v>
      </c>
      <c r="E310" s="8">
        <v>5.0</v>
      </c>
      <c r="F310" s="72">
        <f t="shared" si="6"/>
        <v>18.65</v>
      </c>
      <c r="G310" s="7" t="s">
        <v>577</v>
      </c>
      <c r="H310" s="145">
        <v>0.0</v>
      </c>
      <c r="I310" s="145">
        <v>0.0</v>
      </c>
    </row>
    <row r="313" hidden="1">
      <c r="A313" s="7" t="s">
        <v>642</v>
      </c>
      <c r="B313" s="7">
        <v>2.9</v>
      </c>
      <c r="C313" s="8">
        <v>0.0</v>
      </c>
      <c r="D313" s="7">
        <v>10.5</v>
      </c>
      <c r="E313" s="8">
        <v>5.0</v>
      </c>
      <c r="F313" s="72">
        <f t="shared" ref="F313:F314" si="7">SUM(B313 + C313 + D313 + E313)</f>
        <v>18.4</v>
      </c>
      <c r="J313" s="23"/>
    </row>
    <row r="314" hidden="1">
      <c r="A314" s="7" t="s">
        <v>643</v>
      </c>
      <c r="B314" s="7">
        <v>8.9</v>
      </c>
      <c r="C314" s="8">
        <v>0.0</v>
      </c>
      <c r="D314" s="7">
        <v>4.5</v>
      </c>
      <c r="E314" s="8">
        <v>5.0</v>
      </c>
      <c r="F314" s="72">
        <f t="shared" si="7"/>
        <v>18.4</v>
      </c>
      <c r="J314" s="23"/>
    </row>
    <row r="315">
      <c r="B315" s="19"/>
    </row>
    <row r="317" hidden="1">
      <c r="A317" s="145" t="s">
        <v>644</v>
      </c>
      <c r="B317" s="145">
        <v>13.0</v>
      </c>
      <c r="C317" s="72">
        <v>0.0</v>
      </c>
      <c r="D317" s="72">
        <v>5.3</v>
      </c>
      <c r="E317" s="72">
        <v>0.0</v>
      </c>
      <c r="F317" s="72">
        <f t="shared" ref="F317:F319" si="8">SUM(B317 + C317 + D317 + E317)</f>
        <v>18.3</v>
      </c>
      <c r="G317" s="7" t="s">
        <v>577</v>
      </c>
      <c r="H317" s="7">
        <v>0.0</v>
      </c>
      <c r="I317" s="7">
        <v>0.0</v>
      </c>
    </row>
    <row r="318" hidden="1">
      <c r="A318" s="145" t="s">
        <v>645</v>
      </c>
      <c r="B318" s="8">
        <v>5.0</v>
      </c>
      <c r="C318" s="8">
        <v>0.0</v>
      </c>
      <c r="D318" s="8">
        <v>8.25</v>
      </c>
      <c r="E318" s="8">
        <v>5.0</v>
      </c>
      <c r="F318" s="72">
        <f t="shared" si="8"/>
        <v>18.25</v>
      </c>
      <c r="G318" s="7" t="s">
        <v>577</v>
      </c>
      <c r="H318" s="145">
        <v>0.0</v>
      </c>
      <c r="I318" s="145">
        <v>0.0</v>
      </c>
    </row>
    <row r="319" hidden="1">
      <c r="A319" s="7" t="s">
        <v>163</v>
      </c>
      <c r="B319" s="8">
        <v>6.5</v>
      </c>
      <c r="C319" s="8">
        <v>0.0</v>
      </c>
      <c r="D319" s="8">
        <v>6.75</v>
      </c>
      <c r="E319" s="8">
        <v>5.0</v>
      </c>
      <c r="F319" s="72">
        <f t="shared" si="8"/>
        <v>18.25</v>
      </c>
      <c r="G319" s="7" t="s">
        <v>577</v>
      </c>
      <c r="H319" s="145">
        <v>0.0</v>
      </c>
      <c r="I319" s="145">
        <v>0.0</v>
      </c>
    </row>
    <row r="321" hidden="1">
      <c r="A321" s="145" t="s">
        <v>102</v>
      </c>
      <c r="B321" s="8">
        <v>3.5</v>
      </c>
      <c r="C321" s="8">
        <v>0.0</v>
      </c>
      <c r="D321" s="8">
        <v>9.7</v>
      </c>
      <c r="E321" s="8">
        <v>5.0</v>
      </c>
      <c r="F321" s="72">
        <f t="shared" ref="F321:F324" si="9">SUM(B321 + C321 + D321 + E321)</f>
        <v>18.2</v>
      </c>
      <c r="G321" s="7" t="s">
        <v>577</v>
      </c>
      <c r="H321" s="145">
        <v>0.0</v>
      </c>
      <c r="I321" s="145">
        <v>0.0</v>
      </c>
    </row>
    <row r="322" hidden="1">
      <c r="A322" s="7" t="s">
        <v>646</v>
      </c>
      <c r="B322" s="8">
        <v>5.0</v>
      </c>
      <c r="C322" s="8">
        <v>0.0</v>
      </c>
      <c r="D322" s="8">
        <v>8.2</v>
      </c>
      <c r="E322" s="8">
        <v>5.0</v>
      </c>
      <c r="F322" s="72">
        <f t="shared" si="9"/>
        <v>18.2</v>
      </c>
      <c r="G322" s="7" t="s">
        <v>609</v>
      </c>
      <c r="H322" s="145">
        <v>0.0</v>
      </c>
      <c r="I322" s="145">
        <v>0.0</v>
      </c>
    </row>
    <row r="323" hidden="1">
      <c r="A323" s="7" t="s">
        <v>647</v>
      </c>
      <c r="B323" s="19">
        <v>14.29869283098573</v>
      </c>
      <c r="C323" s="8">
        <v>0.0</v>
      </c>
      <c r="D323" s="7">
        <v>3.8</v>
      </c>
      <c r="E323" s="8">
        <v>0.0</v>
      </c>
      <c r="F323" s="97">
        <f t="shared" si="9"/>
        <v>18.09869283</v>
      </c>
      <c r="G323" s="7" t="s">
        <v>577</v>
      </c>
      <c r="H323" s="7">
        <v>0.0</v>
      </c>
      <c r="I323" s="7">
        <v>0.0</v>
      </c>
    </row>
    <row r="324" hidden="1">
      <c r="A324" s="7" t="s">
        <v>648</v>
      </c>
      <c r="B324" s="8">
        <v>0.0</v>
      </c>
      <c r="C324" s="8">
        <v>15.0</v>
      </c>
      <c r="D324" s="8">
        <v>3.0</v>
      </c>
      <c r="E324" s="8">
        <v>0.0</v>
      </c>
      <c r="F324" s="72">
        <f t="shared" si="9"/>
        <v>18</v>
      </c>
      <c r="G324" s="7" t="s">
        <v>577</v>
      </c>
      <c r="H324" s="145">
        <v>0.0</v>
      </c>
      <c r="I324" s="145">
        <v>0.0</v>
      </c>
    </row>
    <row r="327" hidden="1">
      <c r="A327" s="7" t="s">
        <v>248</v>
      </c>
      <c r="B327" s="8">
        <v>8.5</v>
      </c>
      <c r="C327" s="8">
        <v>0.0</v>
      </c>
      <c r="D327" s="8">
        <v>4.5</v>
      </c>
      <c r="E327" s="8">
        <v>5.0</v>
      </c>
      <c r="F327" s="72">
        <f>SUM(B327 + C327 + D327 + E327)</f>
        <v>18</v>
      </c>
      <c r="G327" s="7" t="s">
        <v>577</v>
      </c>
      <c r="H327" s="145">
        <v>0.0</v>
      </c>
      <c r="I327" s="145">
        <v>0.0</v>
      </c>
    </row>
    <row r="330">
      <c r="B330" s="19"/>
    </row>
    <row r="331" hidden="1">
      <c r="A331" s="7" t="s">
        <v>240</v>
      </c>
      <c r="B331" s="7">
        <v>5.0</v>
      </c>
      <c r="C331" s="8">
        <v>0.0</v>
      </c>
      <c r="D331" s="7">
        <v>12.8</v>
      </c>
      <c r="E331" s="8">
        <v>0.0</v>
      </c>
      <c r="F331" s="72">
        <f t="shared" ref="F331:F334" si="10">SUM(B331 + C331 + D331 + E331)</f>
        <v>17.8</v>
      </c>
      <c r="G331" s="7" t="s">
        <v>577</v>
      </c>
      <c r="H331" s="145">
        <v>0.0</v>
      </c>
      <c r="I331" s="145">
        <v>0.0</v>
      </c>
    </row>
    <row r="332" hidden="1">
      <c r="A332" s="7" t="s">
        <v>439</v>
      </c>
      <c r="B332" s="7">
        <v>10.6</v>
      </c>
      <c r="C332" s="8">
        <v>0.0</v>
      </c>
      <c r="D332" s="7">
        <v>2.2</v>
      </c>
      <c r="E332" s="8">
        <v>5.0</v>
      </c>
      <c r="F332" s="72">
        <f t="shared" si="10"/>
        <v>17.8</v>
      </c>
      <c r="J332" s="23"/>
    </row>
    <row r="333" hidden="1">
      <c r="A333" s="7" t="s">
        <v>649</v>
      </c>
      <c r="B333" s="8">
        <v>0.0</v>
      </c>
      <c r="C333" s="8">
        <v>0.0</v>
      </c>
      <c r="D333" s="8">
        <v>12.75</v>
      </c>
      <c r="E333" s="8">
        <v>5.0</v>
      </c>
      <c r="F333" s="72">
        <f t="shared" si="10"/>
        <v>17.75</v>
      </c>
      <c r="G333" s="7" t="s">
        <v>577</v>
      </c>
      <c r="H333" s="145">
        <v>0.0</v>
      </c>
      <c r="I333" s="145">
        <v>0.0</v>
      </c>
    </row>
    <row r="334" hidden="1">
      <c r="A334" s="145" t="s">
        <v>113</v>
      </c>
      <c r="B334" s="8">
        <v>5.9</v>
      </c>
      <c r="C334" s="8">
        <v>0.0</v>
      </c>
      <c r="D334" s="8">
        <v>6.7</v>
      </c>
      <c r="E334" s="8">
        <v>5.0</v>
      </c>
      <c r="F334" s="72">
        <f t="shared" si="10"/>
        <v>17.6</v>
      </c>
      <c r="G334" s="7" t="s">
        <v>577</v>
      </c>
      <c r="H334" s="145">
        <v>0.0</v>
      </c>
      <c r="I334" s="145">
        <v>0.0</v>
      </c>
    </row>
    <row r="337" hidden="1">
      <c r="A337" s="7" t="s">
        <v>650</v>
      </c>
      <c r="B337" s="7">
        <v>7.5</v>
      </c>
      <c r="C337" s="8">
        <v>0.0</v>
      </c>
      <c r="D337" s="7">
        <v>9.7</v>
      </c>
      <c r="E337" s="8">
        <v>0.0</v>
      </c>
      <c r="F337" s="72">
        <f>SUM(B337 + C337 + D337 + E337)</f>
        <v>17.2</v>
      </c>
      <c r="J337" s="24"/>
    </row>
    <row r="340" hidden="1">
      <c r="A340" s="7" t="s">
        <v>56</v>
      </c>
      <c r="B340" s="7">
        <v>3.9</v>
      </c>
      <c r="C340" s="8">
        <v>0.0</v>
      </c>
      <c r="D340" s="7">
        <v>8.2</v>
      </c>
      <c r="E340" s="8">
        <v>5.0</v>
      </c>
      <c r="F340" s="72">
        <f>SUM(B340 + C340 + D340 + E340)</f>
        <v>17.1</v>
      </c>
      <c r="J340" s="24"/>
    </row>
    <row r="346" hidden="1">
      <c r="A346" s="7" t="s">
        <v>651</v>
      </c>
      <c r="B346" s="8">
        <v>5.9</v>
      </c>
      <c r="C346" s="8">
        <v>0.0</v>
      </c>
      <c r="D346" s="8">
        <v>6.0</v>
      </c>
      <c r="E346" s="8">
        <v>5.0</v>
      </c>
      <c r="F346" s="72">
        <f>SUM(B346 + C346 + D346 + E346)</f>
        <v>16.9</v>
      </c>
      <c r="G346" s="7" t="s">
        <v>577</v>
      </c>
      <c r="H346" s="145">
        <v>0.0</v>
      </c>
      <c r="I346" s="145">
        <v>0.0</v>
      </c>
    </row>
    <row r="348" hidden="1">
      <c r="A348" s="7" t="s">
        <v>652</v>
      </c>
      <c r="B348" s="19">
        <v>11.505149978319906</v>
      </c>
      <c r="C348" s="8">
        <v>0.0</v>
      </c>
      <c r="D348" s="7">
        <v>5.3</v>
      </c>
      <c r="E348" s="8">
        <v>0.0</v>
      </c>
      <c r="F348" s="97">
        <f>SUM(B348 + C348 + D348 + E348)</f>
        <v>16.80514998</v>
      </c>
      <c r="G348" s="7" t="s">
        <v>577</v>
      </c>
      <c r="H348" s="7">
        <v>0.0</v>
      </c>
      <c r="I348" s="7">
        <v>0.0</v>
      </c>
    </row>
    <row r="351" hidden="1">
      <c r="A351" s="145" t="s">
        <v>79</v>
      </c>
      <c r="B351" s="8">
        <v>3.5</v>
      </c>
      <c r="C351" s="8">
        <v>0.0</v>
      </c>
      <c r="D351" s="72">
        <v>8.2</v>
      </c>
      <c r="E351" s="8">
        <v>5.0</v>
      </c>
      <c r="F351" s="72">
        <f t="shared" ref="F351:F352" si="11">SUM(B351 + C351 + D351 + E351)</f>
        <v>16.7</v>
      </c>
      <c r="G351" s="7" t="s">
        <v>577</v>
      </c>
      <c r="H351" s="145">
        <v>0.0</v>
      </c>
      <c r="I351" s="145">
        <v>0.0</v>
      </c>
    </row>
    <row r="352" hidden="1">
      <c r="A352" s="145" t="s">
        <v>154</v>
      </c>
      <c r="B352" s="8">
        <v>3.5</v>
      </c>
      <c r="C352" s="8">
        <v>0.0</v>
      </c>
      <c r="D352" s="72">
        <v>8.2</v>
      </c>
      <c r="E352" s="8">
        <v>5.0</v>
      </c>
      <c r="F352" s="72">
        <f t="shared" si="11"/>
        <v>16.7</v>
      </c>
      <c r="G352" s="7" t="s">
        <v>577</v>
      </c>
      <c r="H352" s="145">
        <v>0.0</v>
      </c>
      <c r="I352" s="145">
        <v>0.0</v>
      </c>
    </row>
    <row r="354" hidden="1">
      <c r="A354" s="145" t="s">
        <v>653</v>
      </c>
      <c r="B354" s="8">
        <v>3.5</v>
      </c>
      <c r="C354" s="8">
        <v>0.0</v>
      </c>
      <c r="D354" s="72">
        <v>8.2</v>
      </c>
      <c r="E354" s="8">
        <v>5.0</v>
      </c>
      <c r="F354" s="72">
        <f t="shared" ref="F354:F358" si="12">SUM(B354 + C354 + D354 + E354)</f>
        <v>16.7</v>
      </c>
      <c r="G354" s="7" t="s">
        <v>577</v>
      </c>
      <c r="H354" s="145">
        <v>0.0</v>
      </c>
      <c r="I354" s="145">
        <v>0.0</v>
      </c>
    </row>
    <row r="355" hidden="1">
      <c r="A355" s="145" t="s">
        <v>202</v>
      </c>
      <c r="B355" s="8">
        <v>5.0</v>
      </c>
      <c r="C355" s="8">
        <v>0.0</v>
      </c>
      <c r="D355" s="8">
        <v>6.7</v>
      </c>
      <c r="E355" s="8">
        <v>5.0</v>
      </c>
      <c r="F355" s="72">
        <f t="shared" si="12"/>
        <v>16.7</v>
      </c>
      <c r="G355" s="7" t="s">
        <v>577</v>
      </c>
      <c r="H355" s="145">
        <v>0.0</v>
      </c>
      <c r="I355" s="145">
        <v>0.0</v>
      </c>
      <c r="J355" s="153"/>
    </row>
    <row r="356" hidden="1">
      <c r="A356" s="7" t="s">
        <v>654</v>
      </c>
      <c r="B356" s="7">
        <v>3.5</v>
      </c>
      <c r="C356" s="8">
        <v>0.0</v>
      </c>
      <c r="D356" s="7">
        <v>8.2</v>
      </c>
      <c r="E356" s="8">
        <v>5.0</v>
      </c>
      <c r="F356" s="72">
        <f t="shared" si="12"/>
        <v>16.7</v>
      </c>
      <c r="J356" s="24"/>
    </row>
    <row r="357" hidden="1">
      <c r="A357" s="7" t="s">
        <v>655</v>
      </c>
      <c r="B357" s="8">
        <v>6.3</v>
      </c>
      <c r="C357" s="8">
        <v>0.0</v>
      </c>
      <c r="D357" s="8">
        <v>5.3</v>
      </c>
      <c r="E357" s="8">
        <v>5.0</v>
      </c>
      <c r="F357" s="72">
        <f t="shared" si="12"/>
        <v>16.6</v>
      </c>
      <c r="G357" s="7" t="s">
        <v>577</v>
      </c>
      <c r="H357" s="145">
        <v>0.0</v>
      </c>
      <c r="I357" s="145">
        <v>0.0</v>
      </c>
      <c r="J357" s="153"/>
    </row>
    <row r="358" hidden="1">
      <c r="A358" s="7" t="s">
        <v>62</v>
      </c>
      <c r="B358" s="8">
        <v>10.0</v>
      </c>
      <c r="C358" s="8">
        <v>0.0</v>
      </c>
      <c r="D358" s="8">
        <v>1.5</v>
      </c>
      <c r="E358" s="8">
        <v>5.0</v>
      </c>
      <c r="F358" s="72">
        <f t="shared" si="12"/>
        <v>16.5</v>
      </c>
      <c r="G358" s="7" t="s">
        <v>577</v>
      </c>
      <c r="H358" s="145">
        <v>0.0</v>
      </c>
      <c r="I358" s="145">
        <v>0.0</v>
      </c>
    </row>
    <row r="360" hidden="1">
      <c r="A360" s="7" t="s">
        <v>89</v>
      </c>
      <c r="B360" s="8">
        <v>1.0</v>
      </c>
      <c r="C360" s="8">
        <v>0.0</v>
      </c>
      <c r="D360" s="8">
        <v>10.5</v>
      </c>
      <c r="E360" s="8">
        <v>5.0</v>
      </c>
      <c r="F360" s="72">
        <f t="shared" ref="F360:F361" si="13">SUM(B360 + C360 + D360 + E360)</f>
        <v>16.5</v>
      </c>
      <c r="G360" s="7" t="s">
        <v>577</v>
      </c>
      <c r="H360" s="145">
        <v>0.0</v>
      </c>
      <c r="I360" s="145">
        <v>0.0</v>
      </c>
    </row>
    <row r="361" hidden="1">
      <c r="A361" s="7" t="s">
        <v>656</v>
      </c>
      <c r="B361" s="19">
        <v>6.901056208558032</v>
      </c>
      <c r="C361" s="8">
        <v>0.0</v>
      </c>
      <c r="D361" s="7">
        <v>4.5</v>
      </c>
      <c r="E361" s="7">
        <v>5.0</v>
      </c>
      <c r="F361" s="97">
        <f t="shared" si="13"/>
        <v>16.40105621</v>
      </c>
      <c r="G361" s="7" t="s">
        <v>577</v>
      </c>
      <c r="H361" s="7">
        <v>0.0</v>
      </c>
      <c r="I361" s="7">
        <v>0.0</v>
      </c>
      <c r="K361" s="23"/>
      <c r="L361" s="23"/>
    </row>
    <row r="365" hidden="1">
      <c r="A365" s="145" t="s">
        <v>657</v>
      </c>
      <c r="B365" s="8">
        <v>0.0</v>
      </c>
      <c r="C365" s="8">
        <v>0.0</v>
      </c>
      <c r="D365" s="8">
        <v>11.25</v>
      </c>
      <c r="E365" s="8">
        <v>5.0</v>
      </c>
      <c r="F365" s="72">
        <f>SUM(B365 + C365 + D365 + E365)</f>
        <v>16.25</v>
      </c>
      <c r="G365" s="7" t="s">
        <v>577</v>
      </c>
      <c r="H365" s="145">
        <v>0.0</v>
      </c>
      <c r="I365" s="145">
        <v>0.0</v>
      </c>
    </row>
    <row r="369">
      <c r="B369" s="19"/>
    </row>
    <row r="371" hidden="1">
      <c r="A371" s="145" t="s">
        <v>658</v>
      </c>
      <c r="B371" s="8">
        <v>5.0</v>
      </c>
      <c r="C371" s="8">
        <v>0.0</v>
      </c>
      <c r="D371" s="72">
        <v>6.0</v>
      </c>
      <c r="E371" s="8">
        <v>5.0</v>
      </c>
      <c r="F371" s="72">
        <f>SUM(B371 + C371 + D371 + E371)</f>
        <v>16</v>
      </c>
      <c r="G371" s="7" t="s">
        <v>577</v>
      </c>
      <c r="H371" s="145">
        <v>0.0</v>
      </c>
      <c r="I371" s="145">
        <v>0.0</v>
      </c>
    </row>
    <row r="375" hidden="1">
      <c r="A375" s="7" t="s">
        <v>659</v>
      </c>
      <c r="B375" s="8">
        <v>5.0</v>
      </c>
      <c r="C375" s="8">
        <v>0.0</v>
      </c>
      <c r="D375" s="8">
        <v>6.0</v>
      </c>
      <c r="E375" s="8">
        <v>5.0</v>
      </c>
      <c r="F375" s="72">
        <f>SUM(B375 + C375 + D375 + E375)</f>
        <v>16</v>
      </c>
      <c r="G375" s="7" t="s">
        <v>577</v>
      </c>
      <c r="H375" s="145">
        <v>0.0</v>
      </c>
      <c r="I375" s="145">
        <v>0.0</v>
      </c>
      <c r="J375" s="153">
        <v>850.0</v>
      </c>
    </row>
    <row r="378" hidden="1">
      <c r="A378" s="7" t="s">
        <v>173</v>
      </c>
      <c r="B378" s="19">
        <v>6.5</v>
      </c>
      <c r="C378" s="8">
        <v>0.0</v>
      </c>
      <c r="D378" s="8">
        <v>4.5</v>
      </c>
      <c r="E378" s="8">
        <v>5.0</v>
      </c>
      <c r="F378" s="97">
        <f t="shared" ref="F378:F379" si="14">SUM(B378 + C378 + D378 + E378)</f>
        <v>16</v>
      </c>
      <c r="G378" s="7" t="s">
        <v>577</v>
      </c>
      <c r="H378" s="145">
        <v>0.0</v>
      </c>
      <c r="I378" s="145">
        <v>0.0</v>
      </c>
    </row>
    <row r="379" hidden="1">
      <c r="A379" s="7" t="s">
        <v>147</v>
      </c>
      <c r="B379" s="19">
        <v>10.0</v>
      </c>
      <c r="C379" s="8">
        <v>0.0</v>
      </c>
      <c r="D379" s="7">
        <v>6.0</v>
      </c>
      <c r="E379" s="8">
        <v>0.0</v>
      </c>
      <c r="F379" s="97">
        <f t="shared" si="14"/>
        <v>16</v>
      </c>
      <c r="G379" s="7" t="s">
        <v>577</v>
      </c>
      <c r="H379" s="145">
        <v>0.0</v>
      </c>
      <c r="I379" s="145">
        <v>0.0</v>
      </c>
    </row>
    <row r="381">
      <c r="B381" s="19"/>
    </row>
    <row r="383" hidden="1">
      <c r="A383" s="7" t="s">
        <v>130</v>
      </c>
      <c r="B383" s="8">
        <v>2.5</v>
      </c>
      <c r="C383" s="8">
        <v>0.0</v>
      </c>
      <c r="D383" s="8">
        <v>8.25</v>
      </c>
      <c r="E383" s="8">
        <v>5.0</v>
      </c>
      <c r="F383" s="72">
        <f t="shared" ref="F383:F384" si="15">SUM(B383 + C383 + D383 + E383)</f>
        <v>15.75</v>
      </c>
      <c r="G383" s="7" t="s">
        <v>577</v>
      </c>
      <c r="H383" s="145">
        <v>0.0</v>
      </c>
      <c r="I383" s="145">
        <v>0.0</v>
      </c>
    </row>
    <row r="384" hidden="1">
      <c r="A384" s="145" t="s">
        <v>660</v>
      </c>
      <c r="B384" s="8">
        <v>2.5</v>
      </c>
      <c r="C384" s="8">
        <v>0.0</v>
      </c>
      <c r="D384" s="72">
        <v>8.2</v>
      </c>
      <c r="E384" s="8">
        <v>5.0</v>
      </c>
      <c r="F384" s="72">
        <f t="shared" si="15"/>
        <v>15.7</v>
      </c>
      <c r="G384" s="7" t="s">
        <v>609</v>
      </c>
      <c r="H384" s="145">
        <v>0.0</v>
      </c>
      <c r="I384" s="145">
        <v>0.0</v>
      </c>
    </row>
    <row r="386" hidden="1">
      <c r="A386" s="7" t="s">
        <v>661</v>
      </c>
      <c r="B386" s="8">
        <v>4.7</v>
      </c>
      <c r="C386" s="8">
        <v>0.0</v>
      </c>
      <c r="D386" s="8">
        <v>6.0</v>
      </c>
      <c r="E386" s="8">
        <v>5.0</v>
      </c>
      <c r="F386" s="72">
        <f>SUM(B386 + C386 + D386 + E386)</f>
        <v>15.7</v>
      </c>
      <c r="G386" s="7" t="s">
        <v>577</v>
      </c>
      <c r="H386" s="145">
        <v>0.0</v>
      </c>
      <c r="I386" s="145">
        <v>0.0</v>
      </c>
    </row>
    <row r="389" hidden="1">
      <c r="A389" s="7" t="s">
        <v>662</v>
      </c>
      <c r="B389" s="7">
        <v>1.0</v>
      </c>
      <c r="C389" s="8">
        <v>0.0</v>
      </c>
      <c r="D389" s="7">
        <v>9.7</v>
      </c>
      <c r="E389" s="8">
        <v>5.0</v>
      </c>
      <c r="F389" s="72">
        <f>SUM(B389 + C389 + D389 + E389)</f>
        <v>15.7</v>
      </c>
      <c r="G389" s="7" t="s">
        <v>577</v>
      </c>
      <c r="H389" s="145">
        <v>0.0</v>
      </c>
      <c r="I389" s="145">
        <v>0.0</v>
      </c>
    </row>
    <row r="393" hidden="1">
      <c r="A393" s="7" t="s">
        <v>663</v>
      </c>
      <c r="B393" s="19">
        <v>0.0</v>
      </c>
      <c r="C393" s="8">
        <v>0.0</v>
      </c>
      <c r="D393" s="8">
        <v>10.5</v>
      </c>
      <c r="E393" s="8">
        <v>5.0</v>
      </c>
      <c r="F393" s="97">
        <f>SUM(B393 + C393 + D393 + E393)</f>
        <v>15.5</v>
      </c>
      <c r="G393" s="7" t="s">
        <v>577</v>
      </c>
      <c r="H393" s="145">
        <v>0.0</v>
      </c>
      <c r="I393" s="145">
        <v>0.0</v>
      </c>
    </row>
    <row r="396" hidden="1">
      <c r="A396" s="7" t="s">
        <v>664</v>
      </c>
      <c r="B396" s="7">
        <v>0.0</v>
      </c>
      <c r="C396" s="8">
        <v>0.0</v>
      </c>
      <c r="D396" s="7">
        <v>10.5</v>
      </c>
      <c r="E396" s="8">
        <v>5.0</v>
      </c>
      <c r="F396" s="72">
        <f t="shared" ref="F396:F398" si="16">SUM(B396 + C396 + D396 + E396)</f>
        <v>15.5</v>
      </c>
      <c r="G396" s="7" t="s">
        <v>577</v>
      </c>
      <c r="H396" s="145">
        <v>0.0</v>
      </c>
      <c r="I396" s="145">
        <v>0.0</v>
      </c>
    </row>
    <row r="397" hidden="1">
      <c r="A397" s="7" t="s">
        <v>665</v>
      </c>
      <c r="B397" s="8">
        <v>5.2</v>
      </c>
      <c r="C397" s="8">
        <v>0.0</v>
      </c>
      <c r="D397" s="8">
        <v>5.25</v>
      </c>
      <c r="E397" s="8">
        <v>5.0</v>
      </c>
      <c r="F397" s="72">
        <f t="shared" si="16"/>
        <v>15.45</v>
      </c>
      <c r="G397" s="7" t="s">
        <v>613</v>
      </c>
      <c r="H397" s="145">
        <v>0.0</v>
      </c>
      <c r="I397" s="7">
        <v>0.0</v>
      </c>
    </row>
    <row r="398" hidden="1">
      <c r="A398" s="7" t="s">
        <v>123</v>
      </c>
      <c r="B398" s="8">
        <v>5.9</v>
      </c>
      <c r="C398" s="8">
        <v>0.0</v>
      </c>
      <c r="D398" s="8">
        <v>4.5</v>
      </c>
      <c r="E398" s="8">
        <v>5.0</v>
      </c>
      <c r="F398" s="72">
        <f t="shared" si="16"/>
        <v>15.4</v>
      </c>
      <c r="G398" s="7" t="s">
        <v>577</v>
      </c>
      <c r="H398" s="145">
        <v>0.0</v>
      </c>
      <c r="I398" s="145">
        <v>0.0</v>
      </c>
    </row>
    <row r="403" hidden="1">
      <c r="A403" s="145" t="s">
        <v>666</v>
      </c>
      <c r="B403" s="8">
        <v>1.0</v>
      </c>
      <c r="C403" s="8">
        <v>0.0</v>
      </c>
      <c r="D403" s="72">
        <v>9.0</v>
      </c>
      <c r="E403" s="8">
        <v>5.0</v>
      </c>
      <c r="F403" s="72">
        <f>SUM(B403 + C403 + D403 + E403)</f>
        <v>15</v>
      </c>
      <c r="G403" s="7" t="s">
        <v>577</v>
      </c>
      <c r="H403" s="145">
        <v>0.0</v>
      </c>
      <c r="I403" s="145">
        <v>0.0</v>
      </c>
    </row>
    <row r="405" hidden="1">
      <c r="A405" s="7" t="s">
        <v>667</v>
      </c>
      <c r="B405" s="19">
        <v>0.0</v>
      </c>
      <c r="C405" s="8">
        <v>0.0</v>
      </c>
      <c r="D405" s="8">
        <v>15.0</v>
      </c>
      <c r="E405" s="8">
        <v>0.0</v>
      </c>
      <c r="F405" s="97">
        <f t="shared" ref="F405:F408" si="17">SUM(B405 + C405 + D405 + E405)</f>
        <v>15</v>
      </c>
      <c r="G405" s="7" t="s">
        <v>577</v>
      </c>
      <c r="H405" s="145">
        <v>0.0</v>
      </c>
      <c r="I405" s="145">
        <v>0.0</v>
      </c>
    </row>
    <row r="406" hidden="1">
      <c r="A406" s="7" t="s">
        <v>668</v>
      </c>
      <c r="B406" s="8">
        <v>0.0</v>
      </c>
      <c r="C406" s="8">
        <v>15.0</v>
      </c>
      <c r="D406" s="7">
        <v>0.0</v>
      </c>
      <c r="E406" s="8">
        <v>0.0</v>
      </c>
      <c r="F406" s="72">
        <f t="shared" si="17"/>
        <v>15</v>
      </c>
      <c r="G406" s="7" t="s">
        <v>577</v>
      </c>
      <c r="H406" s="145">
        <v>0.0</v>
      </c>
      <c r="I406" s="145">
        <v>0.0</v>
      </c>
    </row>
    <row r="407" hidden="1">
      <c r="A407" s="7" t="s">
        <v>669</v>
      </c>
      <c r="B407" s="7">
        <v>0.0</v>
      </c>
      <c r="C407" s="8">
        <v>0.0</v>
      </c>
      <c r="D407" s="7">
        <v>15.0</v>
      </c>
      <c r="E407" s="8">
        <v>0.0</v>
      </c>
      <c r="F407" s="72">
        <f t="shared" si="17"/>
        <v>15</v>
      </c>
      <c r="G407" s="7" t="s">
        <v>577</v>
      </c>
      <c r="H407" s="145">
        <v>0.0</v>
      </c>
      <c r="I407" s="145">
        <v>0.0</v>
      </c>
    </row>
    <row r="408" hidden="1">
      <c r="A408" s="7" t="s">
        <v>670</v>
      </c>
      <c r="B408" s="19">
        <v>11.989700043360187</v>
      </c>
      <c r="C408" s="8">
        <v>0.0</v>
      </c>
      <c r="D408" s="8">
        <v>3.0</v>
      </c>
      <c r="E408" s="8">
        <v>0.0</v>
      </c>
      <c r="F408" s="97">
        <f t="shared" si="17"/>
        <v>14.98970004</v>
      </c>
      <c r="G408" s="7" t="s">
        <v>609</v>
      </c>
      <c r="H408" s="145">
        <v>0.0</v>
      </c>
      <c r="I408" s="145">
        <v>0.0</v>
      </c>
    </row>
    <row r="409">
      <c r="A409" s="14"/>
      <c r="B409" s="28"/>
      <c r="C409" s="16"/>
      <c r="D409" s="16"/>
    </row>
    <row r="412" hidden="1">
      <c r="A412" s="7" t="s">
        <v>273</v>
      </c>
      <c r="B412" s="8">
        <v>0.0</v>
      </c>
      <c r="C412" s="8">
        <v>0.0</v>
      </c>
      <c r="D412" s="8">
        <v>9.75</v>
      </c>
      <c r="E412" s="8">
        <v>5.0</v>
      </c>
      <c r="F412" s="72">
        <f>SUM(B412 + C412 + D412 + E412)</f>
        <v>14.75</v>
      </c>
      <c r="G412" s="7" t="s">
        <v>577</v>
      </c>
      <c r="H412" s="145">
        <v>0.0</v>
      </c>
      <c r="I412" s="145">
        <v>0.0</v>
      </c>
    </row>
    <row r="414" hidden="1">
      <c r="A414" s="7" t="s">
        <v>223</v>
      </c>
      <c r="B414" s="8">
        <v>0.0</v>
      </c>
      <c r="C414" s="8">
        <v>0.0</v>
      </c>
      <c r="D414" s="8">
        <v>9.75</v>
      </c>
      <c r="E414" s="8">
        <v>5.0</v>
      </c>
      <c r="F414" s="72">
        <f t="shared" ref="F414:F415" si="18">SUM(B414 + C414 + D414 + E414)</f>
        <v>14.75</v>
      </c>
      <c r="G414" s="7" t="s">
        <v>577</v>
      </c>
      <c r="H414" s="145">
        <v>0.0</v>
      </c>
      <c r="I414" s="145">
        <v>0.0</v>
      </c>
    </row>
    <row r="415" hidden="1">
      <c r="A415" s="7" t="s">
        <v>671</v>
      </c>
      <c r="B415" s="8">
        <v>0.0</v>
      </c>
      <c r="C415" s="8">
        <v>0.0</v>
      </c>
      <c r="D415" s="8">
        <v>9.75</v>
      </c>
      <c r="E415" s="8">
        <v>5.0</v>
      </c>
      <c r="F415" s="72">
        <f t="shared" si="18"/>
        <v>14.75</v>
      </c>
      <c r="G415" s="7" t="s">
        <v>577</v>
      </c>
      <c r="H415" s="145">
        <v>0.0</v>
      </c>
      <c r="I415" s="145">
        <v>0.0</v>
      </c>
    </row>
    <row r="419" hidden="1">
      <c r="A419" s="7" t="s">
        <v>200</v>
      </c>
      <c r="B419" s="19">
        <v>0.0</v>
      </c>
      <c r="C419" s="8">
        <v>0.0</v>
      </c>
      <c r="D419" s="7">
        <v>9.7</v>
      </c>
      <c r="E419" s="7">
        <v>5.0</v>
      </c>
      <c r="F419" s="97">
        <f>SUM(B419 + C419 + D419 + E419)</f>
        <v>14.7</v>
      </c>
      <c r="G419" s="7" t="s">
        <v>577</v>
      </c>
      <c r="H419" s="7">
        <v>0.0</v>
      </c>
      <c r="I419" s="7">
        <v>0.0</v>
      </c>
      <c r="K419" s="23"/>
      <c r="L419" s="23"/>
    </row>
    <row r="420">
      <c r="B420" s="19"/>
    </row>
    <row r="422" hidden="1">
      <c r="A422" s="7" t="s">
        <v>672</v>
      </c>
      <c r="B422" s="8">
        <v>5.0</v>
      </c>
      <c r="C422" s="8">
        <v>0.0</v>
      </c>
      <c r="D422" s="8">
        <v>4.5</v>
      </c>
      <c r="E422" s="8">
        <v>5.0</v>
      </c>
      <c r="F422" s="72">
        <f>SUM(B422 + C422 + D422 + E422)</f>
        <v>14.5</v>
      </c>
      <c r="G422" s="7" t="s">
        <v>577</v>
      </c>
      <c r="H422" s="145">
        <v>0.0</v>
      </c>
      <c r="I422" s="145">
        <v>0.0</v>
      </c>
    </row>
    <row r="424" hidden="1">
      <c r="A424" s="7" t="s">
        <v>673</v>
      </c>
      <c r="B424" s="8">
        <v>2.5</v>
      </c>
      <c r="C424" s="8">
        <v>0.0</v>
      </c>
      <c r="D424" s="8">
        <v>6.75</v>
      </c>
      <c r="E424" s="8">
        <v>5.0</v>
      </c>
      <c r="F424" s="72">
        <f>SUM(B424 + C424 + D424 + E424)</f>
        <v>14.25</v>
      </c>
      <c r="G424" s="7" t="s">
        <v>577</v>
      </c>
      <c r="H424" s="145">
        <v>0.0</v>
      </c>
      <c r="I424" s="145">
        <v>0.0</v>
      </c>
    </row>
    <row r="426" hidden="1">
      <c r="A426" s="7" t="s">
        <v>674</v>
      </c>
      <c r="B426" s="7">
        <v>1.0</v>
      </c>
      <c r="C426" s="8">
        <v>0.0</v>
      </c>
      <c r="D426" s="7">
        <v>8.2</v>
      </c>
      <c r="E426" s="8">
        <v>5.0</v>
      </c>
      <c r="F426" s="72">
        <f t="shared" ref="F426:F427" si="19">SUM(B426 + C426 + D426 + E426)</f>
        <v>14.2</v>
      </c>
      <c r="G426" s="7" t="s">
        <v>577</v>
      </c>
      <c r="H426" s="145">
        <v>0.0</v>
      </c>
      <c r="I426" s="145">
        <v>0.0</v>
      </c>
    </row>
    <row r="427" hidden="1">
      <c r="A427" s="145" t="s">
        <v>675</v>
      </c>
      <c r="B427" s="8">
        <v>0.0</v>
      </c>
      <c r="C427" s="8">
        <v>0.0</v>
      </c>
      <c r="D427" s="72">
        <v>9.0</v>
      </c>
      <c r="E427" s="8">
        <v>5.0</v>
      </c>
      <c r="F427" s="72">
        <f t="shared" si="19"/>
        <v>14</v>
      </c>
      <c r="G427" s="7" t="s">
        <v>577</v>
      </c>
      <c r="H427" s="145">
        <v>0.0</v>
      </c>
      <c r="I427" s="145">
        <v>0.0</v>
      </c>
    </row>
    <row r="429" hidden="1">
      <c r="A429" s="7" t="s">
        <v>676</v>
      </c>
      <c r="B429" s="8">
        <v>0.0</v>
      </c>
      <c r="C429" s="8">
        <v>0.0</v>
      </c>
      <c r="D429" s="8">
        <v>9.0</v>
      </c>
      <c r="E429" s="8">
        <v>5.0</v>
      </c>
      <c r="F429" s="72">
        <f t="shared" ref="F429:F430" si="20">SUM(B429 + C429 + D429 + E429)</f>
        <v>14</v>
      </c>
      <c r="G429" s="7" t="s">
        <v>577</v>
      </c>
      <c r="H429" s="145">
        <v>0.0</v>
      </c>
      <c r="I429" s="145">
        <v>0.0</v>
      </c>
    </row>
    <row r="430" hidden="1">
      <c r="A430" s="7" t="s">
        <v>677</v>
      </c>
      <c r="B430" s="8">
        <v>6.0</v>
      </c>
      <c r="C430" s="8">
        <v>0.0</v>
      </c>
      <c r="D430" s="8">
        <v>3.0</v>
      </c>
      <c r="E430" s="8">
        <v>5.0</v>
      </c>
      <c r="F430" s="72">
        <f t="shared" si="20"/>
        <v>14</v>
      </c>
      <c r="G430" s="7" t="s">
        <v>613</v>
      </c>
      <c r="H430" s="7">
        <v>0.0</v>
      </c>
      <c r="I430" s="145">
        <v>0.0</v>
      </c>
    </row>
    <row r="433" hidden="1">
      <c r="A433" s="7" t="s">
        <v>41</v>
      </c>
      <c r="B433" s="7">
        <v>1.8</v>
      </c>
      <c r="C433" s="8">
        <v>0.0</v>
      </c>
      <c r="D433" s="7">
        <v>12.0</v>
      </c>
      <c r="E433" s="8">
        <v>0.0</v>
      </c>
      <c r="F433" s="72">
        <f>SUM(B433 + C433 + D433 + E433)</f>
        <v>13.8</v>
      </c>
      <c r="G433" s="7" t="s">
        <v>577</v>
      </c>
      <c r="H433" s="145">
        <v>0.0</v>
      </c>
      <c r="I433" s="145">
        <v>0.0</v>
      </c>
    </row>
    <row r="436" hidden="1">
      <c r="A436" s="7" t="s">
        <v>678</v>
      </c>
      <c r="B436" s="8">
        <v>4.0</v>
      </c>
      <c r="C436" s="8">
        <v>0.0</v>
      </c>
      <c r="D436" s="8">
        <v>9.75</v>
      </c>
      <c r="E436" s="8">
        <v>0.0</v>
      </c>
      <c r="F436" s="72">
        <f t="shared" ref="F436:F438" si="21">SUM(B436 + C436 + D436 + E436)</f>
        <v>13.75</v>
      </c>
      <c r="G436" s="7" t="s">
        <v>577</v>
      </c>
      <c r="H436" s="145">
        <v>0.0</v>
      </c>
      <c r="I436" s="145">
        <v>0.0</v>
      </c>
    </row>
    <row r="437" hidden="1">
      <c r="A437" s="7" t="s">
        <v>679</v>
      </c>
      <c r="B437" s="7">
        <v>8.4</v>
      </c>
      <c r="C437" s="8">
        <v>0.0</v>
      </c>
      <c r="D437" s="7">
        <v>5.3</v>
      </c>
      <c r="E437" s="8">
        <v>0.0</v>
      </c>
      <c r="F437" s="72">
        <f t="shared" si="21"/>
        <v>13.7</v>
      </c>
      <c r="J437" s="23"/>
    </row>
    <row r="438" hidden="1">
      <c r="A438" s="145" t="s">
        <v>680</v>
      </c>
      <c r="B438" s="8">
        <v>5.4</v>
      </c>
      <c r="C438" s="8">
        <v>0.0</v>
      </c>
      <c r="D438" s="72">
        <v>8.2</v>
      </c>
      <c r="E438" s="8">
        <v>0.0</v>
      </c>
      <c r="F438" s="72">
        <f t="shared" si="21"/>
        <v>13.6</v>
      </c>
      <c r="G438" s="7" t="s">
        <v>577</v>
      </c>
      <c r="H438" s="145">
        <v>0.0</v>
      </c>
      <c r="I438" s="145">
        <v>0.0</v>
      </c>
    </row>
    <row r="439">
      <c r="B439" s="19"/>
    </row>
    <row r="442" hidden="1">
      <c r="A442" s="7" t="s">
        <v>71</v>
      </c>
      <c r="B442" s="8">
        <v>0.0</v>
      </c>
      <c r="C442" s="8">
        <v>0.0</v>
      </c>
      <c r="D442" s="8">
        <v>8.25</v>
      </c>
      <c r="E442" s="8">
        <v>5.0</v>
      </c>
      <c r="F442" s="72">
        <f>SUM(B442 + C442 + D442 + E442)</f>
        <v>13.25</v>
      </c>
      <c r="G442" s="7" t="s">
        <v>577</v>
      </c>
      <c r="H442" s="145">
        <v>0.0</v>
      </c>
      <c r="I442" s="145">
        <v>0.0</v>
      </c>
    </row>
    <row r="443">
      <c r="J443" s="153"/>
    </row>
    <row r="444" hidden="1">
      <c r="A444" s="7" t="s">
        <v>681</v>
      </c>
      <c r="B444" s="8">
        <v>5.0</v>
      </c>
      <c r="C444" s="8">
        <v>0.0</v>
      </c>
      <c r="D444" s="8">
        <v>8.25</v>
      </c>
      <c r="E444" s="8">
        <v>0.0</v>
      </c>
      <c r="F444" s="72">
        <f t="shared" ref="F444:F447" si="22">SUM(B444 + C444 + D444 + E444)</f>
        <v>13.25</v>
      </c>
      <c r="G444" s="7" t="s">
        <v>577</v>
      </c>
      <c r="H444" s="7">
        <v>0.0</v>
      </c>
      <c r="I444" s="145">
        <v>0.0</v>
      </c>
    </row>
    <row r="445" hidden="1">
      <c r="A445" s="145" t="s">
        <v>682</v>
      </c>
      <c r="B445" s="14">
        <v>5.0</v>
      </c>
      <c r="C445" s="8">
        <v>0.0</v>
      </c>
      <c r="D445" s="72">
        <v>8.2</v>
      </c>
      <c r="E445" s="13">
        <v>0.0</v>
      </c>
      <c r="F445" s="72">
        <f t="shared" si="22"/>
        <v>13.2</v>
      </c>
      <c r="G445" s="7" t="s">
        <v>577</v>
      </c>
      <c r="H445" s="145">
        <v>0.0</v>
      </c>
      <c r="I445" s="145">
        <v>0.0</v>
      </c>
    </row>
    <row r="446" hidden="1">
      <c r="A446" s="145" t="s">
        <v>683</v>
      </c>
      <c r="B446" s="8">
        <v>0.0</v>
      </c>
      <c r="C446" s="8">
        <v>0.0</v>
      </c>
      <c r="D446" s="72">
        <v>8.2</v>
      </c>
      <c r="E446" s="8">
        <v>5.0</v>
      </c>
      <c r="F446" s="72">
        <f t="shared" si="22"/>
        <v>13.2</v>
      </c>
      <c r="G446" s="7" t="s">
        <v>577</v>
      </c>
      <c r="H446" s="145">
        <v>0.0</v>
      </c>
      <c r="I446" s="145">
        <v>0.0</v>
      </c>
    </row>
    <row r="447" hidden="1">
      <c r="A447" s="145" t="s">
        <v>80</v>
      </c>
      <c r="B447" s="8">
        <v>0.0</v>
      </c>
      <c r="C447" s="8">
        <v>0.0</v>
      </c>
      <c r="D447" s="72">
        <v>8.2</v>
      </c>
      <c r="E447" s="8">
        <v>5.0</v>
      </c>
      <c r="F447" s="72">
        <f t="shared" si="22"/>
        <v>13.2</v>
      </c>
      <c r="G447" s="7" t="s">
        <v>577</v>
      </c>
      <c r="H447" s="145">
        <v>0.0</v>
      </c>
      <c r="I447" s="145">
        <v>0.0</v>
      </c>
    </row>
    <row r="450" hidden="1">
      <c r="A450" s="7" t="s">
        <v>279</v>
      </c>
      <c r="B450" s="7">
        <v>0.0</v>
      </c>
      <c r="C450" s="8">
        <v>0.0</v>
      </c>
      <c r="D450" s="7">
        <v>8.2</v>
      </c>
      <c r="E450" s="8">
        <v>5.0</v>
      </c>
      <c r="F450" s="72">
        <f t="shared" ref="F450:F451" si="23">SUM(B450 + C450 + D450 + E450)</f>
        <v>13.2</v>
      </c>
      <c r="G450" s="7" t="s">
        <v>577</v>
      </c>
      <c r="H450" s="145">
        <v>0.0</v>
      </c>
      <c r="I450" s="145">
        <v>0.0</v>
      </c>
    </row>
    <row r="451" hidden="1">
      <c r="A451" s="7" t="s">
        <v>210</v>
      </c>
      <c r="B451" s="7">
        <v>0.0</v>
      </c>
      <c r="C451" s="8">
        <v>0.0</v>
      </c>
      <c r="D451" s="21">
        <v>8.2</v>
      </c>
      <c r="E451" s="8">
        <v>5.0</v>
      </c>
      <c r="F451" s="155">
        <f t="shared" si="23"/>
        <v>13.2</v>
      </c>
      <c r="G451" s="7" t="s">
        <v>577</v>
      </c>
      <c r="H451" s="7">
        <v>0.0</v>
      </c>
      <c r="I451" s="7">
        <v>0.0</v>
      </c>
    </row>
    <row r="453" hidden="1">
      <c r="A453" s="7" t="s">
        <v>684</v>
      </c>
      <c r="B453" s="19">
        <v>1.702220574200588</v>
      </c>
      <c r="C453" s="8">
        <v>0.0</v>
      </c>
      <c r="D453" s="7">
        <v>11.2</v>
      </c>
      <c r="E453" s="8">
        <v>0.0</v>
      </c>
      <c r="F453" s="97">
        <f t="shared" ref="F453:F459" si="24">SUM(B453 + C453 + D453 + E453)</f>
        <v>12.90222057</v>
      </c>
      <c r="G453" s="7" t="s">
        <v>577</v>
      </c>
      <c r="H453" s="7">
        <v>0.0</v>
      </c>
      <c r="I453" s="7">
        <v>0.0</v>
      </c>
    </row>
    <row r="454" hidden="1">
      <c r="A454" s="7" t="s">
        <v>685</v>
      </c>
      <c r="B454" s="8">
        <v>1.0</v>
      </c>
      <c r="C454" s="8">
        <v>0.0</v>
      </c>
      <c r="D454" s="8">
        <v>6.75</v>
      </c>
      <c r="E454" s="8">
        <v>5.0</v>
      </c>
      <c r="F454" s="72">
        <f t="shared" si="24"/>
        <v>12.75</v>
      </c>
      <c r="G454" s="7" t="s">
        <v>577</v>
      </c>
      <c r="H454" s="145">
        <v>0.0</v>
      </c>
      <c r="I454" s="145">
        <v>0.0</v>
      </c>
      <c r="J454" s="153">
        <v>1500.0</v>
      </c>
    </row>
    <row r="455" hidden="1">
      <c r="A455" s="7" t="s">
        <v>686</v>
      </c>
      <c r="B455" s="19">
        <v>1.548150837129496</v>
      </c>
      <c r="C455" s="8">
        <v>0.0</v>
      </c>
      <c r="D455" s="7">
        <v>6.0</v>
      </c>
      <c r="E455" s="8">
        <v>5.0</v>
      </c>
      <c r="F455" s="97">
        <f t="shared" si="24"/>
        <v>12.54815084</v>
      </c>
      <c r="G455" s="7" t="s">
        <v>577</v>
      </c>
      <c r="H455" s="7">
        <v>0.0</v>
      </c>
      <c r="I455" s="7">
        <v>0.0</v>
      </c>
    </row>
    <row r="456" hidden="1">
      <c r="A456" s="7" t="s">
        <v>687</v>
      </c>
      <c r="B456" s="19">
        <v>6.505149978319906</v>
      </c>
      <c r="C456" s="8">
        <v>0.0</v>
      </c>
      <c r="D456" s="7">
        <v>6.0</v>
      </c>
      <c r="E456" s="8">
        <v>0.0</v>
      </c>
      <c r="F456" s="97">
        <f t="shared" si="24"/>
        <v>12.50514998</v>
      </c>
      <c r="G456" s="7" t="s">
        <v>577</v>
      </c>
      <c r="H456" s="7">
        <v>0.0</v>
      </c>
      <c r="I456" s="7">
        <v>0.0</v>
      </c>
    </row>
    <row r="457" hidden="1">
      <c r="A457" s="145" t="s">
        <v>688</v>
      </c>
      <c r="B457" s="8">
        <v>0.0</v>
      </c>
      <c r="C457" s="8">
        <v>0.0</v>
      </c>
      <c r="D457" s="72">
        <v>7.5</v>
      </c>
      <c r="E457" s="8">
        <v>5.0</v>
      </c>
      <c r="F457" s="72">
        <f t="shared" si="24"/>
        <v>12.5</v>
      </c>
      <c r="G457" s="7" t="s">
        <v>577</v>
      </c>
      <c r="H457" s="145">
        <v>0.0</v>
      </c>
      <c r="I457" s="145">
        <v>0.0</v>
      </c>
    </row>
    <row r="458" hidden="1">
      <c r="A458" s="145" t="s">
        <v>86</v>
      </c>
      <c r="B458" s="8">
        <v>6.5</v>
      </c>
      <c r="C458" s="8">
        <v>0.0</v>
      </c>
      <c r="D458" s="8">
        <v>6.0</v>
      </c>
      <c r="E458" s="8">
        <v>0.0</v>
      </c>
      <c r="F458" s="72">
        <f t="shared" si="24"/>
        <v>12.5</v>
      </c>
      <c r="G458" s="7" t="s">
        <v>577</v>
      </c>
      <c r="H458" s="145">
        <v>0.0</v>
      </c>
      <c r="I458" s="145">
        <v>0.0</v>
      </c>
    </row>
    <row r="459" hidden="1">
      <c r="A459" s="145" t="s">
        <v>689</v>
      </c>
      <c r="B459" s="8">
        <v>0.0</v>
      </c>
      <c r="C459" s="8">
        <v>0.0</v>
      </c>
      <c r="D459" s="8">
        <v>7.5</v>
      </c>
      <c r="E459" s="8">
        <v>5.0</v>
      </c>
      <c r="F459" s="72">
        <f t="shared" si="24"/>
        <v>12.5</v>
      </c>
      <c r="G459" s="7" t="s">
        <v>577</v>
      </c>
      <c r="H459" s="145">
        <v>0.0</v>
      </c>
      <c r="I459" s="145">
        <v>0.0</v>
      </c>
    </row>
    <row r="461" hidden="1">
      <c r="A461" s="7" t="s">
        <v>13</v>
      </c>
      <c r="B461" s="8">
        <v>0.0</v>
      </c>
      <c r="C461" s="8">
        <v>0.0</v>
      </c>
      <c r="D461" s="8">
        <v>7.5</v>
      </c>
      <c r="E461" s="8">
        <v>5.0</v>
      </c>
      <c r="F461" s="72">
        <f t="shared" ref="F461:F462" si="25">SUM(B461 + C461 + D461 + E461)</f>
        <v>12.5</v>
      </c>
      <c r="G461" s="7" t="s">
        <v>577</v>
      </c>
      <c r="H461" s="145">
        <v>0.0</v>
      </c>
      <c r="I461" s="145">
        <v>0.0</v>
      </c>
    </row>
    <row r="462" hidden="1">
      <c r="A462" s="7" t="s">
        <v>690</v>
      </c>
      <c r="B462" s="8">
        <v>0.0</v>
      </c>
      <c r="C462" s="8">
        <v>0.0</v>
      </c>
      <c r="D462" s="8">
        <v>7.5</v>
      </c>
      <c r="E462" s="8">
        <v>5.0</v>
      </c>
      <c r="F462" s="72">
        <f t="shared" si="25"/>
        <v>12.5</v>
      </c>
      <c r="G462" s="7" t="s">
        <v>577</v>
      </c>
      <c r="H462" s="145">
        <v>0.0</v>
      </c>
      <c r="I462" s="145">
        <v>0.0</v>
      </c>
    </row>
    <row r="464" hidden="1">
      <c r="A464" s="7" t="s">
        <v>691</v>
      </c>
      <c r="B464" s="7">
        <v>0.0</v>
      </c>
      <c r="C464" s="8">
        <v>0.0</v>
      </c>
      <c r="D464" s="7">
        <v>7.5</v>
      </c>
      <c r="E464" s="8">
        <v>5.0</v>
      </c>
      <c r="F464" s="72">
        <f>SUM(B464 + C464 + D464 + E464)</f>
        <v>12.5</v>
      </c>
      <c r="G464" s="7" t="s">
        <v>577</v>
      </c>
      <c r="H464" s="145">
        <v>0.0</v>
      </c>
      <c r="I464" s="145">
        <v>0.0</v>
      </c>
    </row>
    <row r="469">
      <c r="B469" s="19"/>
    </row>
    <row r="471" hidden="1">
      <c r="A471" s="7" t="s">
        <v>692</v>
      </c>
      <c r="B471" s="8">
        <v>2.5</v>
      </c>
      <c r="C471" s="8">
        <v>0.0</v>
      </c>
      <c r="D471" s="8">
        <v>9.75</v>
      </c>
      <c r="E471" s="8">
        <v>0.0</v>
      </c>
      <c r="F471" s="72">
        <f>SUM(B471 + C471 + D471 + E471)</f>
        <v>12.25</v>
      </c>
      <c r="G471" s="7" t="s">
        <v>577</v>
      </c>
      <c r="H471" s="145">
        <v>0.0</v>
      </c>
      <c r="I471" s="145">
        <v>0.0</v>
      </c>
    </row>
    <row r="473" hidden="1">
      <c r="A473" s="7" t="s">
        <v>693</v>
      </c>
      <c r="B473" s="19">
        <v>4.515449934959719</v>
      </c>
      <c r="C473" s="8">
        <v>0.0</v>
      </c>
      <c r="D473" s="7">
        <v>7.5</v>
      </c>
      <c r="E473" s="8">
        <v>0.0</v>
      </c>
      <c r="F473" s="97">
        <f t="shared" ref="F473:F474" si="26">SUM(B473 + C473 + D473 + E473)</f>
        <v>12.01544993</v>
      </c>
      <c r="G473" s="7" t="s">
        <v>577</v>
      </c>
      <c r="H473" s="7">
        <v>0.0</v>
      </c>
      <c r="I473" s="7">
        <v>0.0</v>
      </c>
    </row>
    <row r="474" hidden="1">
      <c r="A474" s="145" t="s">
        <v>694</v>
      </c>
      <c r="B474" s="8">
        <v>1.7</v>
      </c>
      <c r="C474" s="8">
        <v>0.0</v>
      </c>
      <c r="D474" s="72">
        <v>5.3</v>
      </c>
      <c r="E474" s="8">
        <v>5.0</v>
      </c>
      <c r="F474" s="72">
        <f t="shared" si="26"/>
        <v>12</v>
      </c>
      <c r="G474" s="7" t="s">
        <v>577</v>
      </c>
      <c r="H474" s="145">
        <v>0.0</v>
      </c>
      <c r="I474" s="145">
        <v>0.0</v>
      </c>
    </row>
    <row r="477" hidden="1">
      <c r="A477" s="145" t="s">
        <v>695</v>
      </c>
      <c r="B477" s="145">
        <v>0.0</v>
      </c>
      <c r="C477" s="72">
        <v>0.0</v>
      </c>
      <c r="D477" s="72">
        <v>12.0</v>
      </c>
      <c r="E477" s="72">
        <v>0.0</v>
      </c>
      <c r="F477" s="72">
        <f>SUM(B477 + C477 + D477 + E477)</f>
        <v>12</v>
      </c>
      <c r="G477" s="7" t="s">
        <v>577</v>
      </c>
      <c r="H477" s="7">
        <v>0.0</v>
      </c>
      <c r="I477" s="7">
        <v>0.0</v>
      </c>
    </row>
    <row r="479" hidden="1">
      <c r="A479" s="145" t="s">
        <v>149</v>
      </c>
      <c r="B479" s="8">
        <v>1.5</v>
      </c>
      <c r="C479" s="8">
        <v>0.0</v>
      </c>
      <c r="D479" s="8">
        <v>5.25</v>
      </c>
      <c r="E479" s="8">
        <v>5.0</v>
      </c>
      <c r="F479" s="72">
        <f>SUM(B479 + C479 + D479 + E479)</f>
        <v>11.75</v>
      </c>
      <c r="G479" s="7" t="s">
        <v>577</v>
      </c>
      <c r="H479" s="145">
        <v>0.0</v>
      </c>
      <c r="I479" s="145">
        <v>0.0</v>
      </c>
    </row>
    <row r="481" hidden="1">
      <c r="A481" s="7" t="s">
        <v>696</v>
      </c>
      <c r="B481" s="8">
        <v>0.0</v>
      </c>
      <c r="C481" s="8">
        <v>0.0</v>
      </c>
      <c r="D481" s="8">
        <v>6.75</v>
      </c>
      <c r="E481" s="8">
        <v>5.0</v>
      </c>
      <c r="F481" s="72">
        <f t="shared" ref="F481:F482" si="27">SUM(B481 + C481 + D481 + E481)</f>
        <v>11.75</v>
      </c>
      <c r="G481" s="7" t="s">
        <v>577</v>
      </c>
      <c r="H481" s="145">
        <v>0.0</v>
      </c>
      <c r="I481" s="145">
        <v>0.0</v>
      </c>
    </row>
    <row r="482" hidden="1">
      <c r="A482" s="7" t="s">
        <v>278</v>
      </c>
      <c r="B482" s="8">
        <v>5.0</v>
      </c>
      <c r="C482" s="8">
        <v>0.0</v>
      </c>
      <c r="D482" s="8">
        <v>6.75</v>
      </c>
      <c r="E482" s="8">
        <v>0.0</v>
      </c>
      <c r="F482" s="72">
        <f t="shared" si="27"/>
        <v>11.75</v>
      </c>
      <c r="G482" s="7" t="s">
        <v>577</v>
      </c>
      <c r="H482" s="145">
        <v>0.0</v>
      </c>
      <c r="I482" s="145">
        <v>0.0</v>
      </c>
    </row>
    <row r="484" hidden="1">
      <c r="A484" s="7" t="s">
        <v>38</v>
      </c>
      <c r="B484" s="8">
        <v>0.0</v>
      </c>
      <c r="C484" s="8">
        <v>0.0</v>
      </c>
      <c r="D484" s="8">
        <v>6.749999999999999</v>
      </c>
      <c r="E484" s="8">
        <v>5.0</v>
      </c>
      <c r="F484" s="72">
        <f>SUM(B484 + C484 + D484 + E484)</f>
        <v>11.75</v>
      </c>
      <c r="G484" s="7" t="s">
        <v>577</v>
      </c>
      <c r="H484" s="145">
        <v>0.0</v>
      </c>
      <c r="I484" s="145">
        <v>0.0</v>
      </c>
    </row>
    <row r="485">
      <c r="B485" s="157"/>
    </row>
    <row r="486" hidden="1">
      <c r="A486" s="145" t="s">
        <v>104</v>
      </c>
      <c r="B486" s="8">
        <v>0.0</v>
      </c>
      <c r="C486" s="8">
        <v>0.0</v>
      </c>
      <c r="D486" s="72">
        <v>6.7</v>
      </c>
      <c r="E486" s="8">
        <v>5.0</v>
      </c>
      <c r="F486" s="72">
        <f t="shared" ref="F486:F487" si="28">SUM(B486 + C486 + D486 + E486)</f>
        <v>11.7</v>
      </c>
      <c r="G486" s="7" t="s">
        <v>577</v>
      </c>
      <c r="H486" s="145">
        <v>0.0</v>
      </c>
      <c r="I486" s="145">
        <v>0.0</v>
      </c>
    </row>
    <row r="487" hidden="1">
      <c r="A487" s="145" t="s">
        <v>697</v>
      </c>
      <c r="B487" s="8">
        <v>0.0</v>
      </c>
      <c r="C487" s="8">
        <v>0.0</v>
      </c>
      <c r="D487" s="72">
        <v>6.7</v>
      </c>
      <c r="E487" s="8">
        <v>5.0</v>
      </c>
      <c r="F487" s="72">
        <f t="shared" si="28"/>
        <v>11.7</v>
      </c>
      <c r="G487" s="7" t="s">
        <v>577</v>
      </c>
      <c r="H487" s="145">
        <v>0.0</v>
      </c>
      <c r="I487" s="145">
        <v>0.0</v>
      </c>
    </row>
    <row r="489" hidden="1">
      <c r="A489" s="145" t="s">
        <v>698</v>
      </c>
      <c r="B489" s="8">
        <v>5.0</v>
      </c>
      <c r="C489" s="8">
        <v>0.0</v>
      </c>
      <c r="D489" s="72">
        <v>6.7</v>
      </c>
      <c r="E489" s="8">
        <v>0.0</v>
      </c>
      <c r="F489" s="72">
        <f t="shared" ref="F489:F490" si="29">SUM(B489 + C489 + D489 + E489)</f>
        <v>11.7</v>
      </c>
      <c r="G489" s="7" t="s">
        <v>577</v>
      </c>
      <c r="H489" s="145">
        <v>0.0</v>
      </c>
      <c r="I489" s="145">
        <v>0.0</v>
      </c>
      <c r="J489" s="153">
        <v>900.0</v>
      </c>
    </row>
    <row r="490" hidden="1">
      <c r="A490" s="145" t="s">
        <v>699</v>
      </c>
      <c r="B490" s="8">
        <v>0.0</v>
      </c>
      <c r="C490" s="8">
        <v>0.0</v>
      </c>
      <c r="D490" s="72">
        <v>6.7</v>
      </c>
      <c r="E490" s="8">
        <v>5.0</v>
      </c>
      <c r="F490" s="72">
        <f t="shared" si="29"/>
        <v>11.7</v>
      </c>
      <c r="G490" s="7" t="s">
        <v>577</v>
      </c>
      <c r="H490" s="145">
        <v>0.0</v>
      </c>
      <c r="I490" s="145">
        <v>0.0</v>
      </c>
    </row>
    <row r="494" hidden="1">
      <c r="A494" s="145" t="s">
        <v>700</v>
      </c>
      <c r="B494" s="7">
        <v>0.0</v>
      </c>
      <c r="C494" s="72">
        <v>0.0</v>
      </c>
      <c r="D494" s="72">
        <v>6.7</v>
      </c>
      <c r="E494" s="72">
        <v>5.0</v>
      </c>
      <c r="F494" s="72">
        <f>SUM(B494 + C494 + D494 + E494)</f>
        <v>11.7</v>
      </c>
      <c r="G494" s="7" t="s">
        <v>577</v>
      </c>
      <c r="H494" s="7">
        <v>0.0</v>
      </c>
      <c r="I494" s="7">
        <v>0.0</v>
      </c>
    </row>
    <row r="499" hidden="1">
      <c r="A499" s="7" t="s">
        <v>701</v>
      </c>
      <c r="B499" s="19">
        <v>1.0069856216022588</v>
      </c>
      <c r="C499" s="8">
        <v>0.0</v>
      </c>
      <c r="D499" s="8">
        <v>0.0</v>
      </c>
      <c r="E499" s="8">
        <v>10.0</v>
      </c>
      <c r="F499" s="97">
        <f>SUM(B499 + C499 + D499 + E499)</f>
        <v>11.00698562</v>
      </c>
      <c r="G499" s="7" t="s">
        <v>577</v>
      </c>
      <c r="H499" s="145">
        <v>0.0</v>
      </c>
      <c r="I499" s="145">
        <v>0.0</v>
      </c>
    </row>
    <row r="501" hidden="1">
      <c r="A501" s="7" t="s">
        <v>162</v>
      </c>
      <c r="B501" s="8">
        <v>0.0</v>
      </c>
      <c r="C501" s="8">
        <v>0.0</v>
      </c>
      <c r="D501" s="8">
        <v>6.0</v>
      </c>
      <c r="E501" s="8">
        <v>5.0</v>
      </c>
      <c r="F501" s="72">
        <f>SUM(B501 + C501 + D501 + E501)</f>
        <v>11</v>
      </c>
      <c r="G501" s="7" t="s">
        <v>577</v>
      </c>
      <c r="H501" s="145">
        <v>0.0</v>
      </c>
      <c r="I501" s="145">
        <v>0.0</v>
      </c>
    </row>
    <row r="504" hidden="1">
      <c r="A504" s="7" t="s">
        <v>702</v>
      </c>
      <c r="B504" s="19">
        <v>1.846079287050717</v>
      </c>
      <c r="C504" s="8">
        <v>0.0</v>
      </c>
      <c r="D504" s="7">
        <v>9.0</v>
      </c>
      <c r="E504" s="8">
        <v>0.0</v>
      </c>
      <c r="F504" s="97">
        <f>SUM(B504 + C504 + D504 + E504)</f>
        <v>10.84607929</v>
      </c>
      <c r="G504" s="7" t="s">
        <v>577</v>
      </c>
      <c r="H504" s="7">
        <v>0.0</v>
      </c>
      <c r="I504" s="7">
        <v>0.0</v>
      </c>
    </row>
    <row r="506" hidden="1">
      <c r="A506" s="7" t="s">
        <v>703</v>
      </c>
      <c r="B506" s="8">
        <v>3.5</v>
      </c>
      <c r="C506" s="8">
        <v>0.0</v>
      </c>
      <c r="D506" s="8">
        <v>2.25</v>
      </c>
      <c r="E506" s="8">
        <v>5.0</v>
      </c>
      <c r="F506" s="72">
        <f t="shared" ref="F506:F509" si="30">SUM(B506 + C506 + D506 + E506)</f>
        <v>10.75</v>
      </c>
      <c r="G506" s="7" t="s">
        <v>577</v>
      </c>
      <c r="H506" s="145">
        <v>0.0</v>
      </c>
      <c r="I506" s="145">
        <v>0.0</v>
      </c>
    </row>
    <row r="507" hidden="1">
      <c r="A507" s="7" t="s">
        <v>704</v>
      </c>
      <c r="B507" s="19">
        <v>3.4991886293362295</v>
      </c>
      <c r="C507" s="8">
        <v>0.0</v>
      </c>
      <c r="D507" s="7">
        <v>2.2</v>
      </c>
      <c r="E507" s="7">
        <v>5.0</v>
      </c>
      <c r="F507" s="97">
        <f t="shared" si="30"/>
        <v>10.69918863</v>
      </c>
      <c r="G507" s="7" t="s">
        <v>577</v>
      </c>
      <c r="H507" s="7">
        <v>0.0</v>
      </c>
      <c r="I507" s="7">
        <v>0.0</v>
      </c>
      <c r="K507" s="23"/>
      <c r="L507" s="23"/>
    </row>
    <row r="508" hidden="1">
      <c r="A508" s="145" t="s">
        <v>174</v>
      </c>
      <c r="B508" s="8">
        <v>0.0</v>
      </c>
      <c r="C508" s="8">
        <v>0.0</v>
      </c>
      <c r="D508" s="8">
        <v>10.5</v>
      </c>
      <c r="E508" s="8">
        <v>0.0</v>
      </c>
      <c r="F508" s="72">
        <f t="shared" si="30"/>
        <v>10.5</v>
      </c>
      <c r="G508" s="7" t="s">
        <v>577</v>
      </c>
      <c r="H508" s="145">
        <v>0.0</v>
      </c>
      <c r="I508" s="145">
        <v>0.0</v>
      </c>
    </row>
    <row r="509" hidden="1">
      <c r="A509" s="7" t="s">
        <v>705</v>
      </c>
      <c r="B509" s="8">
        <v>2.5</v>
      </c>
      <c r="C509" s="8">
        <v>0.0</v>
      </c>
      <c r="D509" s="8">
        <v>3.0</v>
      </c>
      <c r="E509" s="8">
        <v>5.0</v>
      </c>
      <c r="F509" s="72">
        <f t="shared" si="30"/>
        <v>10.5</v>
      </c>
      <c r="G509" s="7" t="s">
        <v>577</v>
      </c>
      <c r="H509" s="145">
        <v>0.0</v>
      </c>
      <c r="I509" s="145">
        <v>0.0</v>
      </c>
    </row>
    <row r="510">
      <c r="B510" s="157"/>
    </row>
    <row r="512" hidden="1">
      <c r="A512" s="145" t="s">
        <v>706</v>
      </c>
      <c r="B512" s="8">
        <v>0.0</v>
      </c>
      <c r="C512" s="8">
        <v>0.0</v>
      </c>
      <c r="D512" s="72">
        <v>5.3</v>
      </c>
      <c r="E512" s="8">
        <v>5.0</v>
      </c>
      <c r="F512" s="72">
        <f>SUM(B512 + C512 + D512 + E512)</f>
        <v>10.3</v>
      </c>
      <c r="G512" s="7" t="s">
        <v>577</v>
      </c>
      <c r="H512" s="145">
        <v>0.0</v>
      </c>
      <c r="I512" s="145">
        <v>0.0</v>
      </c>
    </row>
    <row r="514" hidden="1">
      <c r="A514" s="7" t="s">
        <v>408</v>
      </c>
      <c r="B514" s="7">
        <v>0.0</v>
      </c>
      <c r="C514" s="8">
        <v>0.0</v>
      </c>
      <c r="D514" s="21">
        <v>5.3</v>
      </c>
      <c r="E514" s="8">
        <v>5.0</v>
      </c>
      <c r="F514" s="155">
        <f>SUM(B514 + C514 + D514 + E514)</f>
        <v>10.3</v>
      </c>
      <c r="G514" s="7" t="s">
        <v>577</v>
      </c>
      <c r="H514" s="7">
        <v>0.0</v>
      </c>
      <c r="I514" s="7">
        <v>0.0</v>
      </c>
    </row>
    <row r="516" hidden="1">
      <c r="A516" s="7" t="s">
        <v>707</v>
      </c>
      <c r="B516" s="19">
        <v>0.5697167615341847</v>
      </c>
      <c r="C516" s="8">
        <v>0.0</v>
      </c>
      <c r="D516" s="8">
        <v>4.5</v>
      </c>
      <c r="E516" s="8">
        <v>5.0</v>
      </c>
      <c r="F516" s="97">
        <f>SUM(B516 + C516 + D516 + E516)</f>
        <v>10.06971676</v>
      </c>
      <c r="G516" s="7" t="s">
        <v>577</v>
      </c>
      <c r="H516" s="145">
        <v>0.0</v>
      </c>
      <c r="I516" s="145">
        <v>0.0</v>
      </c>
    </row>
    <row r="519" hidden="1">
      <c r="A519" s="7" t="s">
        <v>708</v>
      </c>
      <c r="B519" s="8">
        <v>1.5</v>
      </c>
      <c r="C519" s="8">
        <v>0.0</v>
      </c>
      <c r="D519" s="8">
        <v>8.25</v>
      </c>
      <c r="E519" s="8">
        <v>0.0</v>
      </c>
      <c r="F519" s="72">
        <f t="shared" ref="F519:F521" si="31">SUM(B519 + C519 + D519 + E519)</f>
        <v>9.75</v>
      </c>
      <c r="G519" s="7" t="s">
        <v>577</v>
      </c>
      <c r="H519" s="145">
        <v>0.0</v>
      </c>
      <c r="I519" s="145">
        <v>0.0</v>
      </c>
    </row>
    <row r="520" hidden="1">
      <c r="A520" s="7" t="s">
        <v>709</v>
      </c>
      <c r="B520" s="8">
        <v>0.0</v>
      </c>
      <c r="C520" s="8">
        <v>0.0</v>
      </c>
      <c r="D520" s="8">
        <v>9.7</v>
      </c>
      <c r="E520" s="8">
        <v>0.0</v>
      </c>
      <c r="F520" s="72">
        <f t="shared" si="31"/>
        <v>9.7</v>
      </c>
      <c r="G520" s="7" t="s">
        <v>577</v>
      </c>
      <c r="H520" s="145">
        <v>0.0</v>
      </c>
      <c r="I520" s="145">
        <v>0.0</v>
      </c>
    </row>
    <row r="521" hidden="1">
      <c r="A521" s="7" t="s">
        <v>710</v>
      </c>
      <c r="B521" s="19">
        <v>0.0</v>
      </c>
      <c r="C521" s="8">
        <v>0.0</v>
      </c>
      <c r="D521" s="7">
        <v>9.7</v>
      </c>
      <c r="E521" s="8">
        <v>0.0</v>
      </c>
      <c r="F521" s="97">
        <f t="shared" si="31"/>
        <v>9.7</v>
      </c>
      <c r="G521" s="7" t="s">
        <v>577</v>
      </c>
      <c r="H521" s="7">
        <v>0.0</v>
      </c>
      <c r="I521" s="7">
        <v>0.0</v>
      </c>
      <c r="K521" s="23"/>
      <c r="L521" s="23"/>
    </row>
    <row r="523" hidden="1">
      <c r="A523" s="7" t="s">
        <v>216</v>
      </c>
      <c r="B523" s="8">
        <v>1.5</v>
      </c>
      <c r="C523" s="8">
        <v>0.0</v>
      </c>
      <c r="D523" s="8">
        <v>3.0</v>
      </c>
      <c r="E523" s="8">
        <v>5.0</v>
      </c>
      <c r="F523" s="72">
        <f>SUM(B523 + C523 + D523 + E523)</f>
        <v>9.5</v>
      </c>
      <c r="G523" s="7" t="s">
        <v>577</v>
      </c>
      <c r="H523" s="145">
        <v>0.0</v>
      </c>
      <c r="I523" s="145">
        <v>0.0</v>
      </c>
    </row>
    <row r="526">
      <c r="B526" s="19"/>
    </row>
    <row r="527" hidden="1">
      <c r="A527" s="145" t="s">
        <v>711</v>
      </c>
      <c r="B527" s="8">
        <v>1.5</v>
      </c>
      <c r="C527" s="8">
        <v>0.0</v>
      </c>
      <c r="D527" s="72">
        <v>7.5</v>
      </c>
      <c r="E527" s="8">
        <v>0.0</v>
      </c>
      <c r="F527" s="72">
        <f t="shared" ref="F527:F529" si="32">SUM(B527 + C527 + D527 + E527)</f>
        <v>9</v>
      </c>
      <c r="G527" s="7" t="s">
        <v>577</v>
      </c>
      <c r="H527" s="145">
        <v>0.0</v>
      </c>
      <c r="I527" s="145">
        <v>0.0</v>
      </c>
    </row>
    <row r="528" hidden="1">
      <c r="A528" s="7" t="s">
        <v>371</v>
      </c>
      <c r="B528" s="8">
        <v>5.2</v>
      </c>
      <c r="C528" s="8">
        <v>0.0</v>
      </c>
      <c r="D528" s="8">
        <v>3.8</v>
      </c>
      <c r="E528" s="8">
        <v>0.0</v>
      </c>
      <c r="F528" s="72">
        <f t="shared" si="32"/>
        <v>9</v>
      </c>
      <c r="G528" s="7" t="s">
        <v>577</v>
      </c>
      <c r="H528" s="145">
        <v>0.0</v>
      </c>
      <c r="I528" s="7">
        <v>0.0</v>
      </c>
    </row>
    <row r="529" hidden="1">
      <c r="A529" s="145" t="s">
        <v>233</v>
      </c>
      <c r="B529" s="8">
        <v>0.0</v>
      </c>
      <c r="C529" s="8">
        <v>0.0</v>
      </c>
      <c r="D529" s="72">
        <v>3.8</v>
      </c>
      <c r="E529" s="8">
        <v>5.0</v>
      </c>
      <c r="F529" s="72">
        <f t="shared" si="32"/>
        <v>8.8</v>
      </c>
      <c r="G529" s="7" t="s">
        <v>577</v>
      </c>
      <c r="H529" s="145">
        <v>0.0</v>
      </c>
      <c r="I529" s="145">
        <v>0.0</v>
      </c>
    </row>
    <row r="531" hidden="1">
      <c r="A531" s="7" t="s">
        <v>712</v>
      </c>
      <c r="B531" s="8">
        <v>0.0</v>
      </c>
      <c r="C531" s="8">
        <v>0.0</v>
      </c>
      <c r="D531" s="8">
        <v>3.75</v>
      </c>
      <c r="E531" s="8">
        <v>5.0</v>
      </c>
      <c r="F531" s="72">
        <f>SUM(B531 + C531 + D531 + E531)</f>
        <v>8.75</v>
      </c>
      <c r="G531" s="7" t="s">
        <v>577</v>
      </c>
      <c r="H531" s="145">
        <v>0.0</v>
      </c>
      <c r="I531" s="145">
        <v>0.0</v>
      </c>
    </row>
    <row r="533" hidden="1">
      <c r="A533" s="7" t="s">
        <v>713</v>
      </c>
      <c r="B533" s="8">
        <v>3.5</v>
      </c>
      <c r="C533" s="8">
        <v>0.0</v>
      </c>
      <c r="D533" s="8">
        <v>0.0</v>
      </c>
      <c r="E533" s="8">
        <v>5.0</v>
      </c>
      <c r="F533" s="72">
        <f t="shared" ref="F533:F535" si="33">SUM(B533 + C533 + D533 + E533)</f>
        <v>8.5</v>
      </c>
      <c r="G533" s="7" t="s">
        <v>577</v>
      </c>
      <c r="H533" s="145">
        <v>0.0</v>
      </c>
      <c r="I533" s="145">
        <v>0.0</v>
      </c>
    </row>
    <row r="534" hidden="1">
      <c r="A534" s="7" t="s">
        <v>714</v>
      </c>
      <c r="B534" s="8">
        <v>0.0</v>
      </c>
      <c r="C534" s="8">
        <v>0.0</v>
      </c>
      <c r="D534" s="8">
        <v>8.25</v>
      </c>
      <c r="E534" s="8">
        <v>0.0</v>
      </c>
      <c r="F534" s="72">
        <f t="shared" si="33"/>
        <v>8.25</v>
      </c>
      <c r="G534" s="7" t="s">
        <v>577</v>
      </c>
      <c r="H534" s="145">
        <v>0.0</v>
      </c>
      <c r="I534" s="145">
        <v>0.0</v>
      </c>
    </row>
    <row r="535" hidden="1">
      <c r="A535" s="7" t="s">
        <v>715</v>
      </c>
      <c r="B535" s="19">
        <v>6.611096473669598</v>
      </c>
      <c r="C535" s="8">
        <v>0.0</v>
      </c>
      <c r="D535" s="7">
        <v>1.5</v>
      </c>
      <c r="E535" s="8">
        <v>0.0</v>
      </c>
      <c r="F535" s="97">
        <f t="shared" si="33"/>
        <v>8.111096474</v>
      </c>
      <c r="G535" s="7" t="s">
        <v>577</v>
      </c>
      <c r="H535" s="7">
        <v>0.0</v>
      </c>
      <c r="I535" s="7">
        <v>0.0</v>
      </c>
      <c r="K535" s="23"/>
      <c r="L535" s="23"/>
    </row>
    <row r="537" hidden="1">
      <c r="A537" s="7" t="s">
        <v>161</v>
      </c>
      <c r="B537" s="8">
        <v>0.0</v>
      </c>
      <c r="C537" s="8">
        <v>0.0</v>
      </c>
      <c r="D537" s="8">
        <v>3.0</v>
      </c>
      <c r="E537" s="8">
        <v>5.0</v>
      </c>
      <c r="F537" s="72">
        <f>SUM(B537 + C537 + D537 + E537)</f>
        <v>8</v>
      </c>
      <c r="G537" s="7" t="s">
        <v>577</v>
      </c>
      <c r="H537" s="145">
        <v>0.0</v>
      </c>
      <c r="I537" s="145">
        <v>0.0</v>
      </c>
    </row>
    <row r="539" hidden="1">
      <c r="A539" s="7" t="s">
        <v>716</v>
      </c>
      <c r="B539" s="8">
        <v>0.0</v>
      </c>
      <c r="C539" s="8">
        <v>0.0</v>
      </c>
      <c r="D539" s="8">
        <v>7.5</v>
      </c>
      <c r="E539" s="8">
        <v>0.0</v>
      </c>
      <c r="F539" s="72">
        <f t="shared" ref="F539:F544" si="34">SUM(B539 + C539 + D539 + E539)</f>
        <v>7.5</v>
      </c>
      <c r="G539" s="7" t="s">
        <v>577</v>
      </c>
      <c r="H539" s="145">
        <v>0.0</v>
      </c>
      <c r="I539" s="145">
        <v>0.0</v>
      </c>
    </row>
    <row r="540" hidden="1">
      <c r="A540" s="7" t="s">
        <v>717</v>
      </c>
      <c r="B540" s="8">
        <v>0.0</v>
      </c>
      <c r="C540" s="8">
        <v>0.0</v>
      </c>
      <c r="D540" s="7">
        <v>7.5</v>
      </c>
      <c r="E540" s="8">
        <v>0.0</v>
      </c>
      <c r="F540" s="72">
        <f t="shared" si="34"/>
        <v>7.5</v>
      </c>
      <c r="G540" s="7" t="s">
        <v>577</v>
      </c>
      <c r="H540" s="7">
        <v>0.0</v>
      </c>
      <c r="I540" s="7">
        <v>0.0</v>
      </c>
    </row>
    <row r="541" hidden="1">
      <c r="A541" s="7" t="s">
        <v>718</v>
      </c>
      <c r="B541" s="19">
        <v>0.0</v>
      </c>
      <c r="C541" s="8">
        <v>0.0</v>
      </c>
      <c r="D541" s="7">
        <v>7.5</v>
      </c>
      <c r="E541" s="8">
        <v>0.0</v>
      </c>
      <c r="F541" s="97">
        <f t="shared" si="34"/>
        <v>7.5</v>
      </c>
      <c r="G541" s="7" t="s">
        <v>577</v>
      </c>
      <c r="H541" s="7">
        <v>0.0</v>
      </c>
      <c r="I541" s="7">
        <v>0.0</v>
      </c>
    </row>
    <row r="542" hidden="1">
      <c r="A542" s="7" t="s">
        <v>719</v>
      </c>
      <c r="B542" s="19">
        <v>0.0</v>
      </c>
      <c r="C542" s="8">
        <v>0.0</v>
      </c>
      <c r="D542" s="7">
        <v>7.5</v>
      </c>
      <c r="E542" s="8">
        <v>0.0</v>
      </c>
      <c r="F542" s="97">
        <f t="shared" si="34"/>
        <v>7.5</v>
      </c>
      <c r="G542" s="7" t="s">
        <v>577</v>
      </c>
      <c r="H542" s="7">
        <v>0.0</v>
      </c>
      <c r="I542" s="7">
        <v>0.0</v>
      </c>
      <c r="K542" s="23"/>
    </row>
    <row r="543" hidden="1">
      <c r="A543" s="7" t="s">
        <v>268</v>
      </c>
      <c r="B543" s="7">
        <v>0.0</v>
      </c>
      <c r="C543" s="8">
        <v>0.0</v>
      </c>
      <c r="D543" s="7">
        <v>7.5</v>
      </c>
      <c r="E543" s="8">
        <v>0.0</v>
      </c>
      <c r="F543" s="72">
        <f t="shared" si="34"/>
        <v>7.5</v>
      </c>
      <c r="J543" s="24"/>
    </row>
    <row r="544" hidden="1">
      <c r="A544" s="7" t="s">
        <v>720</v>
      </c>
      <c r="B544" s="19">
        <v>1.483325951307659</v>
      </c>
      <c r="C544" s="8">
        <v>0.0</v>
      </c>
      <c r="D544" s="7">
        <v>6.0</v>
      </c>
      <c r="E544" s="8">
        <v>0.0</v>
      </c>
      <c r="F544" s="97">
        <f t="shared" si="34"/>
        <v>7.483325951</v>
      </c>
      <c r="G544" s="7" t="s">
        <v>577</v>
      </c>
      <c r="H544" s="7">
        <v>0.0</v>
      </c>
      <c r="I544" s="7">
        <v>0.0</v>
      </c>
    </row>
    <row r="546" hidden="1">
      <c r="A546" s="145" t="s">
        <v>721</v>
      </c>
      <c r="B546" s="8">
        <v>0.0</v>
      </c>
      <c r="C546" s="8">
        <v>0.0</v>
      </c>
      <c r="D546" s="8">
        <v>6.75</v>
      </c>
      <c r="E546" s="8">
        <v>0.0</v>
      </c>
      <c r="F546" s="72">
        <f t="shared" ref="F546:F547" si="35">SUM(B546 + C546 + D546 + E546)</f>
        <v>6.75</v>
      </c>
      <c r="G546" s="7" t="s">
        <v>577</v>
      </c>
      <c r="H546" s="145">
        <v>0.0</v>
      </c>
      <c r="I546" s="145">
        <v>0.0</v>
      </c>
    </row>
    <row r="547" hidden="1">
      <c r="A547" s="7" t="s">
        <v>57</v>
      </c>
      <c r="B547" s="8">
        <v>0.0</v>
      </c>
      <c r="C547" s="8">
        <v>0.0</v>
      </c>
      <c r="D547" s="8">
        <v>6.75</v>
      </c>
      <c r="E547" s="8">
        <v>0.0</v>
      </c>
      <c r="F547" s="72">
        <f t="shared" si="35"/>
        <v>6.75</v>
      </c>
      <c r="G547" s="7" t="s">
        <v>577</v>
      </c>
      <c r="H547" s="145">
        <v>0.0</v>
      </c>
      <c r="I547" s="145">
        <v>0.0</v>
      </c>
    </row>
    <row r="549" hidden="1">
      <c r="A549" s="7" t="s">
        <v>116</v>
      </c>
      <c r="B549" s="7">
        <v>0.0</v>
      </c>
      <c r="C549" s="8">
        <v>0.0</v>
      </c>
      <c r="D549" s="7">
        <v>6.7</v>
      </c>
      <c r="E549" s="8">
        <v>0.0</v>
      </c>
      <c r="F549" s="72">
        <f t="shared" ref="F549:F551" si="36">SUM(B549 + C549 + D549 + E549)</f>
        <v>6.7</v>
      </c>
      <c r="G549" s="7" t="s">
        <v>577</v>
      </c>
      <c r="H549" s="145">
        <v>0.0</v>
      </c>
      <c r="I549" s="145">
        <v>0.0</v>
      </c>
    </row>
    <row r="550" hidden="1">
      <c r="A550" s="7" t="s">
        <v>722</v>
      </c>
      <c r="B550" s="8">
        <v>0.0</v>
      </c>
      <c r="C550" s="8">
        <v>0.0</v>
      </c>
      <c r="D550" s="8">
        <v>1.5</v>
      </c>
      <c r="E550" s="8">
        <v>5.0</v>
      </c>
      <c r="F550" s="72">
        <f t="shared" si="36"/>
        <v>6.5</v>
      </c>
      <c r="G550" s="7" t="s">
        <v>577</v>
      </c>
      <c r="H550" s="145">
        <v>0.0</v>
      </c>
      <c r="I550" s="145">
        <v>0.0</v>
      </c>
    </row>
    <row r="551" hidden="1">
      <c r="A551" s="7" t="s">
        <v>164</v>
      </c>
      <c r="B551" s="8">
        <v>0.0</v>
      </c>
      <c r="C551" s="8">
        <v>0.0</v>
      </c>
      <c r="D551" s="8">
        <v>1.5</v>
      </c>
      <c r="E551" s="8">
        <v>5.0</v>
      </c>
      <c r="F551" s="72">
        <f t="shared" si="36"/>
        <v>6.5</v>
      </c>
      <c r="G551" s="7" t="s">
        <v>577</v>
      </c>
      <c r="H551" s="145">
        <v>0.0</v>
      </c>
      <c r="I551" s="145">
        <v>0.0</v>
      </c>
    </row>
    <row r="552">
      <c r="A552" s="14"/>
      <c r="B552" s="28"/>
      <c r="C552" s="16"/>
      <c r="D552" s="13"/>
    </row>
    <row r="553" hidden="1">
      <c r="A553" s="7" t="s">
        <v>723</v>
      </c>
      <c r="B553" s="19">
        <v>2.6827922128576542</v>
      </c>
      <c r="C553" s="8">
        <v>0.0</v>
      </c>
      <c r="D553" s="7">
        <v>3.8</v>
      </c>
      <c r="E553" s="8">
        <v>0.0</v>
      </c>
      <c r="F553" s="97">
        <f t="shared" ref="F553:F554" si="37">SUM(B553 + C553 + D553 + E553)</f>
        <v>6.482792213</v>
      </c>
      <c r="G553" s="7" t="s">
        <v>577</v>
      </c>
      <c r="H553" s="7">
        <v>0.0</v>
      </c>
      <c r="I553" s="7">
        <v>0.0</v>
      </c>
    </row>
    <row r="554" hidden="1">
      <c r="A554" s="145" t="s">
        <v>36</v>
      </c>
      <c r="B554" s="8">
        <v>1.4</v>
      </c>
      <c r="C554" s="8">
        <v>0.0</v>
      </c>
      <c r="D554" s="72">
        <v>0.0</v>
      </c>
      <c r="E554" s="8">
        <v>5.0</v>
      </c>
      <c r="F554" s="72">
        <f t="shared" si="37"/>
        <v>6.4</v>
      </c>
      <c r="G554" s="7" t="s">
        <v>577</v>
      </c>
      <c r="H554" s="145">
        <v>0.0</v>
      </c>
      <c r="I554" s="145">
        <v>0.0</v>
      </c>
    </row>
    <row r="556" hidden="1">
      <c r="A556" s="7" t="s">
        <v>724</v>
      </c>
      <c r="B556" s="7">
        <v>0.0</v>
      </c>
      <c r="C556" s="8">
        <v>0.0</v>
      </c>
      <c r="D556" s="21">
        <v>6.0</v>
      </c>
      <c r="E556" s="8">
        <v>0.0</v>
      </c>
      <c r="F556" s="155">
        <f t="shared" ref="F556:F563" si="38">SUM(B556 + C556 + D556 + E556)</f>
        <v>6</v>
      </c>
      <c r="G556" s="7" t="s">
        <v>577</v>
      </c>
      <c r="H556" s="7">
        <v>0.0</v>
      </c>
      <c r="I556" s="7">
        <v>0.0</v>
      </c>
    </row>
    <row r="557" hidden="1">
      <c r="A557" s="7" t="s">
        <v>87</v>
      </c>
      <c r="B557" s="7">
        <v>1.15</v>
      </c>
      <c r="C557" s="8">
        <v>0.0</v>
      </c>
      <c r="D557" s="7">
        <v>4.5</v>
      </c>
      <c r="E557" s="8">
        <v>0.0</v>
      </c>
      <c r="F557" s="72">
        <f t="shared" si="38"/>
        <v>5.65</v>
      </c>
      <c r="G557" s="7" t="s">
        <v>577</v>
      </c>
      <c r="H557" s="145">
        <v>0.0</v>
      </c>
      <c r="I557" s="145">
        <v>0.0</v>
      </c>
    </row>
    <row r="558" hidden="1">
      <c r="A558" s="7" t="s">
        <v>725</v>
      </c>
      <c r="B558" s="8">
        <v>5.6</v>
      </c>
      <c r="C558" s="8">
        <v>0.0</v>
      </c>
      <c r="D558" s="8">
        <v>0.0</v>
      </c>
      <c r="E558" s="8">
        <v>0.0</v>
      </c>
      <c r="F558" s="72">
        <f t="shared" si="38"/>
        <v>5.6</v>
      </c>
      <c r="G558" s="7" t="s">
        <v>577</v>
      </c>
      <c r="H558" s="145">
        <v>0.0</v>
      </c>
      <c r="I558" s="145">
        <v>0.0</v>
      </c>
    </row>
    <row r="559" hidden="1">
      <c r="A559" s="145" t="s">
        <v>726</v>
      </c>
      <c r="B559" s="8">
        <v>0.0</v>
      </c>
      <c r="C559" s="8">
        <v>0.0</v>
      </c>
      <c r="D559" s="72">
        <v>5.3</v>
      </c>
      <c r="E559" s="8">
        <v>0.0</v>
      </c>
      <c r="F559" s="72">
        <f t="shared" si="38"/>
        <v>5.3</v>
      </c>
      <c r="G559" s="7" t="s">
        <v>577</v>
      </c>
      <c r="H559" s="145">
        <v>0.0</v>
      </c>
      <c r="I559" s="145">
        <v>0.0</v>
      </c>
    </row>
    <row r="560" hidden="1">
      <c r="A560" s="7" t="s">
        <v>727</v>
      </c>
      <c r="B560" s="7">
        <v>0.0</v>
      </c>
      <c r="C560" s="8">
        <v>0.0</v>
      </c>
      <c r="D560" s="7">
        <v>5.3</v>
      </c>
      <c r="E560" s="8">
        <v>0.0</v>
      </c>
      <c r="F560" s="72">
        <f t="shared" si="38"/>
        <v>5.3</v>
      </c>
      <c r="J560" s="24"/>
    </row>
    <row r="561" hidden="1">
      <c r="A561" s="7" t="s">
        <v>728</v>
      </c>
      <c r="B561" s="8">
        <v>0.0</v>
      </c>
      <c r="C561" s="8">
        <v>0.0</v>
      </c>
      <c r="D561" s="8">
        <v>5.25</v>
      </c>
      <c r="E561" s="8">
        <v>0.0</v>
      </c>
      <c r="F561" s="72">
        <f t="shared" si="38"/>
        <v>5.25</v>
      </c>
      <c r="G561" s="7" t="s">
        <v>577</v>
      </c>
      <c r="H561" s="145">
        <v>0.0</v>
      </c>
      <c r="I561" s="145">
        <v>0.0</v>
      </c>
    </row>
    <row r="562" hidden="1">
      <c r="A562" s="7" t="s">
        <v>729</v>
      </c>
      <c r="B562" s="8">
        <v>5.2</v>
      </c>
      <c r="C562" s="8">
        <v>0.0</v>
      </c>
      <c r="D562" s="8">
        <v>0.0</v>
      </c>
      <c r="E562" s="8">
        <v>0.0</v>
      </c>
      <c r="F562" s="72">
        <f t="shared" si="38"/>
        <v>5.2</v>
      </c>
      <c r="G562" s="7" t="s">
        <v>577</v>
      </c>
      <c r="H562" s="145">
        <v>0.0</v>
      </c>
      <c r="I562" s="145">
        <v>0.0</v>
      </c>
    </row>
    <row r="563" hidden="1">
      <c r="A563" s="145" t="s">
        <v>730</v>
      </c>
      <c r="B563" s="8">
        <v>0.0</v>
      </c>
      <c r="C563" s="8">
        <v>0.0</v>
      </c>
      <c r="D563" s="8">
        <v>0.0</v>
      </c>
      <c r="E563" s="8">
        <v>5.0</v>
      </c>
      <c r="F563" s="72">
        <f t="shared" si="38"/>
        <v>5</v>
      </c>
      <c r="G563" s="7" t="s">
        <v>577</v>
      </c>
      <c r="H563" s="145">
        <v>0.0</v>
      </c>
      <c r="I563" s="145">
        <v>0.0</v>
      </c>
    </row>
    <row r="565" hidden="1">
      <c r="A565" s="145" t="s">
        <v>731</v>
      </c>
      <c r="B565" s="8">
        <v>0.0</v>
      </c>
      <c r="C565" s="8">
        <v>0.0</v>
      </c>
      <c r="D565" s="8">
        <v>0.0</v>
      </c>
      <c r="E565" s="8">
        <v>5.0</v>
      </c>
      <c r="F565" s="72">
        <f t="shared" ref="F565:F566" si="39">SUM(B565 + C565 + D565 + E565)</f>
        <v>5</v>
      </c>
      <c r="G565" s="7" t="s">
        <v>577</v>
      </c>
      <c r="H565" s="145">
        <v>0.0</v>
      </c>
      <c r="I565" s="145">
        <v>0.0</v>
      </c>
    </row>
    <row r="566" hidden="1">
      <c r="A566" s="7" t="s">
        <v>732</v>
      </c>
      <c r="B566" s="8">
        <v>0.0</v>
      </c>
      <c r="C566" s="8">
        <v>0.0</v>
      </c>
      <c r="D566" s="8">
        <v>0.0</v>
      </c>
      <c r="E566" s="8">
        <v>5.0</v>
      </c>
      <c r="F566" s="72">
        <f t="shared" si="39"/>
        <v>5</v>
      </c>
      <c r="G566" s="7" t="s">
        <v>577</v>
      </c>
      <c r="H566" s="145">
        <v>0.0</v>
      </c>
      <c r="I566" s="145">
        <v>0.0</v>
      </c>
    </row>
    <row r="570" hidden="1">
      <c r="A570" s="7" t="s">
        <v>733</v>
      </c>
      <c r="B570" s="7">
        <v>0.0</v>
      </c>
      <c r="C570" s="8">
        <v>0.0</v>
      </c>
      <c r="D570" s="7">
        <v>0.0</v>
      </c>
      <c r="E570" s="7">
        <v>5.0</v>
      </c>
      <c r="F570" s="72">
        <f>SUM(B570 + C570 + D570 + E570)</f>
        <v>5</v>
      </c>
      <c r="G570" s="7" t="s">
        <v>577</v>
      </c>
      <c r="H570" s="145">
        <v>0.0</v>
      </c>
      <c r="I570" s="145">
        <v>0.0</v>
      </c>
    </row>
    <row r="572" hidden="1">
      <c r="A572" s="7" t="s">
        <v>734</v>
      </c>
      <c r="B572" s="19">
        <v>0.0</v>
      </c>
      <c r="C572" s="8">
        <v>0.0</v>
      </c>
      <c r="D572" s="7">
        <v>4.5</v>
      </c>
      <c r="E572" s="8">
        <v>0.0</v>
      </c>
      <c r="F572" s="97">
        <f t="shared" ref="F572:F579" si="40">SUM(B572 + C572 + D572 + E572)</f>
        <v>4.5</v>
      </c>
      <c r="G572" s="7" t="s">
        <v>577</v>
      </c>
      <c r="H572" s="7">
        <v>0.0</v>
      </c>
      <c r="I572" s="7">
        <v>0.0</v>
      </c>
      <c r="K572" s="23"/>
    </row>
    <row r="573" hidden="1">
      <c r="A573" s="7" t="s">
        <v>481</v>
      </c>
      <c r="B573" s="7">
        <v>0.0</v>
      </c>
      <c r="C573" s="8">
        <v>0.0</v>
      </c>
      <c r="D573" s="7">
        <v>4.5</v>
      </c>
      <c r="E573" s="8">
        <v>0.0</v>
      </c>
      <c r="F573" s="72">
        <f t="shared" si="40"/>
        <v>4.5</v>
      </c>
    </row>
    <row r="574" hidden="1">
      <c r="A574" s="145" t="s">
        <v>352</v>
      </c>
      <c r="B574" s="145">
        <v>0.0</v>
      </c>
      <c r="C574" s="72">
        <v>0.0</v>
      </c>
      <c r="D574" s="72">
        <v>3.8</v>
      </c>
      <c r="E574" s="72">
        <v>0.0</v>
      </c>
      <c r="F574" s="72">
        <f t="shared" si="40"/>
        <v>3.8</v>
      </c>
      <c r="G574" s="7" t="s">
        <v>577</v>
      </c>
      <c r="H574" s="7">
        <v>0.0</v>
      </c>
      <c r="I574" s="7">
        <v>0.0</v>
      </c>
    </row>
    <row r="575" hidden="1">
      <c r="A575" s="7" t="s">
        <v>735</v>
      </c>
      <c r="B575" s="19">
        <v>0.0</v>
      </c>
      <c r="C575" s="8">
        <v>0.0</v>
      </c>
      <c r="D575" s="7">
        <v>3.0</v>
      </c>
      <c r="E575" s="8">
        <v>0.0</v>
      </c>
      <c r="F575" s="97">
        <f t="shared" si="40"/>
        <v>3</v>
      </c>
      <c r="G575" s="7" t="s">
        <v>577</v>
      </c>
      <c r="H575" s="7">
        <v>0.0</v>
      </c>
      <c r="I575" s="7">
        <v>0.0</v>
      </c>
    </row>
    <row r="576" hidden="1">
      <c r="A576" s="7" t="s">
        <v>736</v>
      </c>
      <c r="B576" s="7">
        <v>0.0</v>
      </c>
      <c r="C576" s="8">
        <v>0.0</v>
      </c>
      <c r="D576" s="7">
        <v>3.0</v>
      </c>
      <c r="E576" s="8">
        <v>0.0</v>
      </c>
      <c r="F576" s="72">
        <f t="shared" si="40"/>
        <v>3</v>
      </c>
    </row>
    <row r="577" hidden="1">
      <c r="A577" s="7" t="s">
        <v>737</v>
      </c>
      <c r="B577" s="7">
        <v>0.0</v>
      </c>
      <c r="C577" s="8">
        <v>0.0</v>
      </c>
      <c r="D577" s="7">
        <v>3.0</v>
      </c>
      <c r="E577" s="8">
        <v>0.0</v>
      </c>
      <c r="F577" s="72">
        <f t="shared" si="40"/>
        <v>3</v>
      </c>
      <c r="J577" s="24"/>
    </row>
    <row r="578" hidden="1">
      <c r="A578" s="7" t="s">
        <v>482</v>
      </c>
      <c r="B578" s="19">
        <v>2.9553230351324977</v>
      </c>
      <c r="C578" s="8">
        <v>0.0</v>
      </c>
      <c r="D578" s="8">
        <v>0.0</v>
      </c>
      <c r="E578" s="8">
        <v>0.0</v>
      </c>
      <c r="F578" s="97">
        <f t="shared" si="40"/>
        <v>2.955323035</v>
      </c>
      <c r="G578" s="7" t="s">
        <v>577</v>
      </c>
      <c r="H578" s="145">
        <v>0.0</v>
      </c>
      <c r="I578" s="145">
        <v>0.0</v>
      </c>
    </row>
    <row r="579" hidden="1">
      <c r="A579" s="145" t="s">
        <v>55</v>
      </c>
      <c r="B579" s="145">
        <v>2.5</v>
      </c>
      <c r="C579" s="72">
        <v>0.0</v>
      </c>
      <c r="D579" s="72">
        <v>0.0</v>
      </c>
      <c r="E579" s="72">
        <v>0.0</v>
      </c>
      <c r="F579" s="72">
        <f t="shared" si="40"/>
        <v>2.5</v>
      </c>
      <c r="G579" s="7" t="s">
        <v>577</v>
      </c>
      <c r="H579" s="7">
        <v>0.0</v>
      </c>
      <c r="I579" s="7">
        <v>0.0</v>
      </c>
    </row>
    <row r="582" hidden="1">
      <c r="A582" s="145" t="s">
        <v>738</v>
      </c>
      <c r="B582" s="145">
        <v>0.0</v>
      </c>
      <c r="C582" s="72">
        <v>0.0</v>
      </c>
      <c r="D582" s="72">
        <v>1.5</v>
      </c>
      <c r="E582" s="72">
        <v>0.0</v>
      </c>
      <c r="F582" s="72">
        <f t="shared" ref="F582:F583" si="41">SUM(B582 + C582 + D582 + E582)</f>
        <v>1.5</v>
      </c>
      <c r="G582" s="7" t="s">
        <v>577</v>
      </c>
      <c r="H582" s="7">
        <v>0.0</v>
      </c>
      <c r="I582" s="7">
        <v>0.0</v>
      </c>
    </row>
    <row r="583" hidden="1">
      <c r="A583" s="7" t="s">
        <v>739</v>
      </c>
      <c r="B583" s="19">
        <v>1.0</v>
      </c>
      <c r="C583" s="8">
        <v>0.0</v>
      </c>
      <c r="D583" s="7">
        <v>0.0</v>
      </c>
      <c r="E583" s="8">
        <v>0.0</v>
      </c>
      <c r="F583" s="97">
        <f t="shared" si="41"/>
        <v>1</v>
      </c>
      <c r="G583" s="7" t="s">
        <v>577</v>
      </c>
      <c r="H583" s="7">
        <v>0.0</v>
      </c>
      <c r="I583" s="7">
        <v>0.0</v>
      </c>
      <c r="K583" s="23"/>
      <c r="L583" s="23"/>
    </row>
    <row r="585">
      <c r="B585" s="19"/>
    </row>
    <row r="586" hidden="1">
      <c r="A586" s="7" t="s">
        <v>289</v>
      </c>
      <c r="B586" s="19">
        <v>0.0</v>
      </c>
      <c r="C586" s="8">
        <v>0.0</v>
      </c>
      <c r="D586" s="7">
        <v>0.0</v>
      </c>
      <c r="E586" s="8">
        <v>0.0</v>
      </c>
      <c r="F586" s="97">
        <f t="shared" ref="F586:F588" si="42">SUM(B586 + C586 + D586 + E586)</f>
        <v>0</v>
      </c>
      <c r="G586" s="7" t="s">
        <v>577</v>
      </c>
      <c r="H586" s="145">
        <v>0.0</v>
      </c>
      <c r="I586" s="145">
        <v>0.0</v>
      </c>
    </row>
    <row r="587" hidden="1">
      <c r="A587" s="7" t="s">
        <v>740</v>
      </c>
      <c r="B587" s="7">
        <v>0.0</v>
      </c>
      <c r="C587" s="8">
        <v>0.0</v>
      </c>
      <c r="D587" s="7">
        <v>0.0</v>
      </c>
      <c r="E587" s="8">
        <v>0.0</v>
      </c>
      <c r="F587" s="72">
        <f t="shared" si="42"/>
        <v>0</v>
      </c>
    </row>
    <row r="588" hidden="1">
      <c r="A588" s="7" t="s">
        <v>741</v>
      </c>
      <c r="B588" s="7">
        <v>0.0</v>
      </c>
      <c r="C588" s="8">
        <v>0.0</v>
      </c>
      <c r="D588" s="7">
        <v>0.0</v>
      </c>
      <c r="E588" s="8">
        <v>0.0</v>
      </c>
      <c r="F588" s="72">
        <f t="shared" si="42"/>
        <v>0</v>
      </c>
      <c r="J588" s="23"/>
    </row>
    <row r="589" hidden="1">
      <c r="J589" s="23"/>
    </row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</sheetData>
  <autoFilter ref="$G$1:$G$980">
    <filterColumn colId="0">
      <filters/>
    </filterColumn>
  </autoFilter>
  <conditionalFormatting sqref="A2:G980">
    <cfRule type="expression" dxfId="0" priority="1">
      <formula>#REF! &gt; 6</formula>
    </cfRule>
  </conditionalFormatting>
  <conditionalFormatting sqref="A2:G980">
    <cfRule type="cellIs" dxfId="9" priority="2" operator="lessThan">
      <formula>-1</formula>
    </cfRule>
  </conditionalFormatting>
  <conditionalFormatting sqref="A2:G980">
    <cfRule type="expression" dxfId="4" priority="3">
      <formula>$F2 &gt; 30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</v>
      </c>
    </row>
    <row r="2">
      <c r="A2" s="7" t="s">
        <v>742</v>
      </c>
    </row>
    <row r="3">
      <c r="A3" s="7" t="s">
        <v>711</v>
      </c>
    </row>
    <row r="4">
      <c r="A4" s="7" t="s">
        <v>20</v>
      </c>
    </row>
    <row r="5">
      <c r="A5" s="7" t="s">
        <v>22</v>
      </c>
    </row>
    <row r="6">
      <c r="A6" s="7" t="s">
        <v>743</v>
      </c>
    </row>
    <row r="7">
      <c r="A7" s="7" t="s">
        <v>744</v>
      </c>
    </row>
    <row r="8">
      <c r="A8" s="7" t="s">
        <v>26</v>
      </c>
    </row>
    <row r="9">
      <c r="A9" s="7" t="s">
        <v>28</v>
      </c>
    </row>
    <row r="10">
      <c r="A10" s="7" t="s">
        <v>620</v>
      </c>
    </row>
    <row r="11">
      <c r="A11" s="7" t="s">
        <v>29</v>
      </c>
    </row>
    <row r="12">
      <c r="A12" s="7" t="s">
        <v>745</v>
      </c>
    </row>
    <row r="13">
      <c r="A13" s="7" t="s">
        <v>31</v>
      </c>
    </row>
    <row r="14">
      <c r="A14" s="7" t="s">
        <v>746</v>
      </c>
    </row>
    <row r="15">
      <c r="A15" s="7" t="s">
        <v>747</v>
      </c>
    </row>
    <row r="16">
      <c r="A16" s="7" t="s">
        <v>34</v>
      </c>
    </row>
    <row r="17">
      <c r="A17" s="7" t="s">
        <v>748</v>
      </c>
    </row>
    <row r="18">
      <c r="A18" s="7" t="s">
        <v>749</v>
      </c>
    </row>
    <row r="19">
      <c r="A19" s="7" t="s">
        <v>36</v>
      </c>
    </row>
    <row r="20">
      <c r="A20" s="7" t="s">
        <v>318</v>
      </c>
    </row>
    <row r="21">
      <c r="A21" s="7" t="s">
        <v>43</v>
      </c>
    </row>
    <row r="22">
      <c r="A22" s="7" t="s">
        <v>750</v>
      </c>
    </row>
    <row r="23">
      <c r="A23" s="7" t="s">
        <v>44</v>
      </c>
    </row>
    <row r="24">
      <c r="A24" s="7" t="s">
        <v>751</v>
      </c>
    </row>
    <row r="25">
      <c r="A25" s="7" t="s">
        <v>45</v>
      </c>
    </row>
    <row r="26">
      <c r="A26" s="7" t="s">
        <v>752</v>
      </c>
    </row>
    <row r="27">
      <c r="A27" s="7" t="s">
        <v>47</v>
      </c>
    </row>
    <row r="28">
      <c r="A28" s="7" t="s">
        <v>48</v>
      </c>
    </row>
    <row r="29">
      <c r="A29" s="7" t="s">
        <v>753</v>
      </c>
    </row>
    <row r="30">
      <c r="A30" s="7" t="s">
        <v>50</v>
      </c>
    </row>
    <row r="31">
      <c r="A31" s="7" t="s">
        <v>51</v>
      </c>
    </row>
    <row r="32">
      <c r="A32" s="7" t="s">
        <v>52</v>
      </c>
    </row>
    <row r="33">
      <c r="A33" s="7" t="s">
        <v>53</v>
      </c>
    </row>
    <row r="34">
      <c r="A34" s="7" t="s">
        <v>754</v>
      </c>
    </row>
    <row r="35">
      <c r="A35" s="7" t="s">
        <v>56</v>
      </c>
    </row>
    <row r="36">
      <c r="A36" s="7" t="s">
        <v>58</v>
      </c>
    </row>
    <row r="37">
      <c r="A37" s="7" t="s">
        <v>60</v>
      </c>
    </row>
    <row r="38">
      <c r="A38" s="7" t="s">
        <v>755</v>
      </c>
    </row>
    <row r="39">
      <c r="A39" s="7" t="s">
        <v>62</v>
      </c>
    </row>
    <row r="40">
      <c r="A40" s="7" t="s">
        <v>63</v>
      </c>
    </row>
    <row r="41">
      <c r="A41" s="7" t="s">
        <v>64</v>
      </c>
    </row>
    <row r="42">
      <c r="A42" s="7" t="s">
        <v>756</v>
      </c>
    </row>
    <row r="43">
      <c r="A43" s="7" t="s">
        <v>396</v>
      </c>
    </row>
    <row r="44">
      <c r="A44" s="7" t="s">
        <v>757</v>
      </c>
    </row>
    <row r="45">
      <c r="A45" s="7" t="s">
        <v>327</v>
      </c>
    </row>
    <row r="46">
      <c r="A46" s="7" t="s">
        <v>68</v>
      </c>
    </row>
    <row r="47">
      <c r="A47" s="7" t="s">
        <v>673</v>
      </c>
    </row>
    <row r="48">
      <c r="A48" s="7" t="s">
        <v>280</v>
      </c>
    </row>
    <row r="49">
      <c r="A49" s="7" t="s">
        <v>348</v>
      </c>
    </row>
    <row r="50">
      <c r="A50" s="7" t="s">
        <v>72</v>
      </c>
    </row>
    <row r="51">
      <c r="A51" s="7" t="s">
        <v>73</v>
      </c>
    </row>
    <row r="52">
      <c r="A52" s="7" t="s">
        <v>758</v>
      </c>
    </row>
    <row r="53">
      <c r="A53" s="7" t="s">
        <v>759</v>
      </c>
    </row>
    <row r="54">
      <c r="A54" s="7" t="s">
        <v>77</v>
      </c>
    </row>
    <row r="55">
      <c r="A55" s="7" t="s">
        <v>79</v>
      </c>
    </row>
    <row r="56">
      <c r="A56" s="7" t="s">
        <v>80</v>
      </c>
    </row>
    <row r="57">
      <c r="A57" s="7" t="s">
        <v>81</v>
      </c>
    </row>
    <row r="58">
      <c r="A58" s="7" t="s">
        <v>760</v>
      </c>
    </row>
    <row r="59">
      <c r="A59" s="7" t="s">
        <v>397</v>
      </c>
    </row>
    <row r="60">
      <c r="A60" s="7" t="s">
        <v>761</v>
      </c>
    </row>
    <row r="61">
      <c r="A61" s="7" t="s">
        <v>85</v>
      </c>
    </row>
    <row r="62">
      <c r="A62" s="7" t="s">
        <v>331</v>
      </c>
    </row>
    <row r="63">
      <c r="A63" s="7" t="s">
        <v>304</v>
      </c>
    </row>
    <row r="64">
      <c r="A64" s="7" t="s">
        <v>86</v>
      </c>
    </row>
    <row r="65">
      <c r="A65" s="7" t="s">
        <v>762</v>
      </c>
    </row>
    <row r="66">
      <c r="A66" s="7" t="s">
        <v>763</v>
      </c>
    </row>
    <row r="67">
      <c r="A67" s="7" t="s">
        <v>320</v>
      </c>
    </row>
    <row r="68">
      <c r="A68" s="7" t="s">
        <v>309</v>
      </c>
    </row>
    <row r="69">
      <c r="A69" s="7" t="s">
        <v>89</v>
      </c>
    </row>
    <row r="70">
      <c r="A70" s="7" t="s">
        <v>91</v>
      </c>
    </row>
    <row r="71">
      <c r="A71" s="7" t="s">
        <v>764</v>
      </c>
    </row>
    <row r="72">
      <c r="A72" s="7" t="s">
        <v>98</v>
      </c>
    </row>
    <row r="73">
      <c r="A73" s="7" t="s">
        <v>100</v>
      </c>
    </row>
    <row r="74">
      <c r="A74" s="7" t="s">
        <v>765</v>
      </c>
    </row>
    <row r="75">
      <c r="A75" s="7" t="s">
        <v>766</v>
      </c>
    </row>
    <row r="76">
      <c r="A76" s="7" t="s">
        <v>767</v>
      </c>
    </row>
    <row r="77">
      <c r="A77" s="7" t="s">
        <v>768</v>
      </c>
    </row>
    <row r="78">
      <c r="A78" s="7" t="s">
        <v>102</v>
      </c>
    </row>
    <row r="79">
      <c r="A79" s="7" t="s">
        <v>103</v>
      </c>
    </row>
    <row r="80">
      <c r="A80" s="7" t="s">
        <v>769</v>
      </c>
    </row>
    <row r="81">
      <c r="A81" s="7" t="s">
        <v>107</v>
      </c>
    </row>
    <row r="82">
      <c r="A82" s="7" t="s">
        <v>108</v>
      </c>
    </row>
    <row r="83">
      <c r="A83" s="7" t="s">
        <v>308</v>
      </c>
    </row>
    <row r="84">
      <c r="A84" s="7" t="s">
        <v>110</v>
      </c>
    </row>
    <row r="85">
      <c r="A85" s="7" t="s">
        <v>111</v>
      </c>
    </row>
    <row r="86">
      <c r="A86" s="7" t="s">
        <v>770</v>
      </c>
    </row>
    <row r="87">
      <c r="A87" s="7" t="s">
        <v>771</v>
      </c>
    </row>
    <row r="88">
      <c r="A88" s="7" t="s">
        <v>115</v>
      </c>
    </row>
    <row r="89">
      <c r="A89" s="7" t="s">
        <v>116</v>
      </c>
    </row>
    <row r="90">
      <c r="A90" s="7" t="s">
        <v>772</v>
      </c>
    </row>
    <row r="91">
      <c r="A91" s="7" t="s">
        <v>118</v>
      </c>
    </row>
    <row r="92">
      <c r="A92" s="7" t="s">
        <v>773</v>
      </c>
    </row>
    <row r="93">
      <c r="A93" s="7" t="s">
        <v>774</v>
      </c>
    </row>
    <row r="94">
      <c r="A94" s="7" t="s">
        <v>121</v>
      </c>
    </row>
    <row r="95">
      <c r="A95" s="7" t="s">
        <v>122</v>
      </c>
    </row>
    <row r="96">
      <c r="A96" s="7" t="s">
        <v>123</v>
      </c>
    </row>
    <row r="97">
      <c r="A97" s="7" t="s">
        <v>639</v>
      </c>
    </row>
    <row r="98">
      <c r="A98" s="7" t="s">
        <v>775</v>
      </c>
    </row>
    <row r="99">
      <c r="A99" s="7" t="s">
        <v>126</v>
      </c>
    </row>
    <row r="100">
      <c r="A100" s="7" t="s">
        <v>661</v>
      </c>
    </row>
    <row r="101">
      <c r="A101" s="7" t="s">
        <v>128</v>
      </c>
    </row>
    <row r="102">
      <c r="A102" s="7" t="s">
        <v>364</v>
      </c>
    </row>
    <row r="103">
      <c r="A103" s="7" t="s">
        <v>776</v>
      </c>
    </row>
    <row r="104">
      <c r="A104" s="7" t="s">
        <v>130</v>
      </c>
    </row>
    <row r="105">
      <c r="A105" s="7" t="s">
        <v>777</v>
      </c>
    </row>
    <row r="106">
      <c r="A106" s="7" t="s">
        <v>131</v>
      </c>
    </row>
    <row r="107">
      <c r="A107" s="7" t="s">
        <v>132</v>
      </c>
    </row>
    <row r="108">
      <c r="A108" s="7" t="s">
        <v>778</v>
      </c>
    </row>
    <row r="109">
      <c r="A109" s="7" t="s">
        <v>779</v>
      </c>
    </row>
    <row r="110">
      <c r="A110" s="7" t="s">
        <v>780</v>
      </c>
    </row>
    <row r="111">
      <c r="A111" s="7" t="s">
        <v>781</v>
      </c>
    </row>
    <row r="112">
      <c r="A112" s="7" t="s">
        <v>137</v>
      </c>
    </row>
    <row r="113">
      <c r="A113" s="7" t="s">
        <v>310</v>
      </c>
    </row>
    <row r="114">
      <c r="A114" s="7" t="s">
        <v>139</v>
      </c>
    </row>
    <row r="115">
      <c r="A115" s="7" t="s">
        <v>782</v>
      </c>
    </row>
    <row r="116">
      <c r="A116" s="7" t="s">
        <v>142</v>
      </c>
    </row>
    <row r="117">
      <c r="A117" s="7" t="s">
        <v>407</v>
      </c>
    </row>
    <row r="118">
      <c r="A118" s="7" t="s">
        <v>143</v>
      </c>
    </row>
    <row r="119">
      <c r="A119" s="7" t="s">
        <v>144</v>
      </c>
    </row>
    <row r="120">
      <c r="A120" s="7" t="s">
        <v>146</v>
      </c>
    </row>
    <row r="121">
      <c r="A121" s="7" t="s">
        <v>149</v>
      </c>
    </row>
    <row r="122">
      <c r="A122" s="7" t="s">
        <v>150</v>
      </c>
    </row>
    <row r="123">
      <c r="A123" s="7" t="s">
        <v>151</v>
      </c>
    </row>
    <row r="124">
      <c r="A124" s="7" t="s">
        <v>783</v>
      </c>
    </row>
    <row r="125">
      <c r="A125" s="7" t="s">
        <v>784</v>
      </c>
    </row>
    <row r="126">
      <c r="A126" s="7" t="s">
        <v>158</v>
      </c>
    </row>
    <row r="127">
      <c r="A127" s="7" t="s">
        <v>161</v>
      </c>
    </row>
    <row r="128">
      <c r="A128" s="7" t="s">
        <v>162</v>
      </c>
    </row>
    <row r="129">
      <c r="A129" s="7" t="s">
        <v>163</v>
      </c>
    </row>
    <row r="130">
      <c r="A130" s="7" t="s">
        <v>164</v>
      </c>
    </row>
    <row r="131">
      <c r="A131" s="7" t="s">
        <v>345</v>
      </c>
    </row>
    <row r="132">
      <c r="A132" s="7" t="s">
        <v>165</v>
      </c>
    </row>
    <row r="133">
      <c r="A133" s="7" t="s">
        <v>166</v>
      </c>
    </row>
    <row r="134">
      <c r="A134" s="7" t="s">
        <v>785</v>
      </c>
    </row>
    <row r="135">
      <c r="A135" s="7" t="s">
        <v>286</v>
      </c>
    </row>
    <row r="136">
      <c r="A136" s="7" t="s">
        <v>167</v>
      </c>
    </row>
    <row r="137">
      <c r="A137" s="7" t="s">
        <v>169</v>
      </c>
    </row>
    <row r="138">
      <c r="A138" s="7" t="s">
        <v>174</v>
      </c>
    </row>
    <row r="139">
      <c r="A139" s="7" t="s">
        <v>175</v>
      </c>
    </row>
    <row r="140">
      <c r="A140" s="7" t="s">
        <v>352</v>
      </c>
    </row>
    <row r="141">
      <c r="A141" s="7" t="s">
        <v>786</v>
      </c>
    </row>
    <row r="142">
      <c r="A142" s="7" t="s">
        <v>178</v>
      </c>
    </row>
    <row r="143">
      <c r="A143" s="7" t="s">
        <v>787</v>
      </c>
    </row>
    <row r="144">
      <c r="A144" s="7" t="s">
        <v>788</v>
      </c>
    </row>
    <row r="145">
      <c r="A145" s="7" t="s">
        <v>789</v>
      </c>
    </row>
    <row r="146">
      <c r="A146" s="7" t="s">
        <v>181</v>
      </c>
    </row>
    <row r="147">
      <c r="A147" s="7" t="s">
        <v>790</v>
      </c>
    </row>
    <row r="148">
      <c r="A148" s="7" t="s">
        <v>791</v>
      </c>
    </row>
    <row r="149">
      <c r="A149" s="7" t="s">
        <v>792</v>
      </c>
    </row>
    <row r="150">
      <c r="A150" s="7" t="s">
        <v>185</v>
      </c>
    </row>
    <row r="151">
      <c r="A151" s="7" t="s">
        <v>187</v>
      </c>
    </row>
    <row r="152">
      <c r="A152" s="7" t="s">
        <v>188</v>
      </c>
    </row>
    <row r="153">
      <c r="A153" s="7" t="s">
        <v>793</v>
      </c>
    </row>
    <row r="154">
      <c r="A154" s="7" t="s">
        <v>794</v>
      </c>
    </row>
    <row r="155">
      <c r="A155" s="7" t="s">
        <v>195</v>
      </c>
    </row>
    <row r="156">
      <c r="A156" s="7" t="s">
        <v>795</v>
      </c>
    </row>
    <row r="157">
      <c r="A157" s="7" t="s">
        <v>796</v>
      </c>
    </row>
    <row r="158">
      <c r="A158" s="7" t="s">
        <v>797</v>
      </c>
    </row>
    <row r="159">
      <c r="A159" s="7" t="s">
        <v>798</v>
      </c>
    </row>
    <row r="160">
      <c r="A160" s="7" t="s">
        <v>203</v>
      </c>
    </row>
    <row r="161">
      <c r="A161" s="7" t="s">
        <v>482</v>
      </c>
    </row>
    <row r="162">
      <c r="A162" s="7" t="s">
        <v>653</v>
      </c>
    </row>
    <row r="163">
      <c r="A163" s="7" t="s">
        <v>799</v>
      </c>
    </row>
    <row r="164">
      <c r="A164" s="7" t="s">
        <v>206</v>
      </c>
    </row>
    <row r="165">
      <c r="A165" s="7" t="s">
        <v>432</v>
      </c>
    </row>
    <row r="166">
      <c r="A166" s="7" t="s">
        <v>800</v>
      </c>
    </row>
    <row r="167">
      <c r="A167" s="7" t="s">
        <v>507</v>
      </c>
    </row>
    <row r="168">
      <c r="A168" s="7" t="s">
        <v>211</v>
      </c>
    </row>
    <row r="169">
      <c r="A169" s="7" t="s">
        <v>801</v>
      </c>
    </row>
    <row r="170">
      <c r="A170" s="7" t="s">
        <v>354</v>
      </c>
    </row>
    <row r="171">
      <c r="A171" s="7" t="s">
        <v>277</v>
      </c>
    </row>
    <row r="172">
      <c r="A172" s="7" t="s">
        <v>214</v>
      </c>
    </row>
    <row r="173">
      <c r="A173" s="7" t="s">
        <v>215</v>
      </c>
    </row>
    <row r="174">
      <c r="A174" s="7" t="s">
        <v>216</v>
      </c>
    </row>
    <row r="175">
      <c r="A175" s="7" t="s">
        <v>802</v>
      </c>
    </row>
    <row r="176">
      <c r="A176" s="7" t="s">
        <v>223</v>
      </c>
    </row>
    <row r="177">
      <c r="A177" s="7" t="s">
        <v>675</v>
      </c>
    </row>
    <row r="178">
      <c r="A178" s="7" t="s">
        <v>228</v>
      </c>
    </row>
    <row r="179">
      <c r="A179" s="7" t="s">
        <v>230</v>
      </c>
    </row>
    <row r="180">
      <c r="A180" s="7" t="s">
        <v>231</v>
      </c>
    </row>
    <row r="181">
      <c r="A181" s="7" t="s">
        <v>233</v>
      </c>
    </row>
    <row r="182">
      <c r="A182" s="7" t="s">
        <v>235</v>
      </c>
    </row>
    <row r="183">
      <c r="A183" s="7" t="s">
        <v>803</v>
      </c>
    </row>
    <row r="184">
      <c r="A184" s="7" t="s">
        <v>236</v>
      </c>
    </row>
    <row r="185">
      <c r="A185" s="7" t="s">
        <v>237</v>
      </c>
    </row>
    <row r="186">
      <c r="A186" s="7" t="s">
        <v>804</v>
      </c>
    </row>
    <row r="187">
      <c r="A187" s="7" t="s">
        <v>805</v>
      </c>
    </row>
    <row r="188">
      <c r="A188" s="7" t="s">
        <v>290</v>
      </c>
    </row>
    <row r="189">
      <c r="A189" s="7" t="s">
        <v>239</v>
      </c>
    </row>
    <row r="190">
      <c r="A190" s="7" t="s">
        <v>316</v>
      </c>
    </row>
    <row r="191">
      <c r="A191" s="7" t="s">
        <v>806</v>
      </c>
    </row>
    <row r="192">
      <c r="A192" s="7" t="s">
        <v>242</v>
      </c>
    </row>
    <row r="193">
      <c r="A193" s="7" t="s">
        <v>243</v>
      </c>
    </row>
    <row r="194">
      <c r="A194" s="7" t="s">
        <v>807</v>
      </c>
    </row>
    <row r="195">
      <c r="A195" s="7" t="s">
        <v>808</v>
      </c>
    </row>
    <row r="196">
      <c r="A196" s="7" t="s">
        <v>245</v>
      </c>
    </row>
    <row r="197">
      <c r="A197" s="7" t="s">
        <v>248</v>
      </c>
    </row>
    <row r="198">
      <c r="A198" s="7" t="s">
        <v>809</v>
      </c>
    </row>
    <row r="199">
      <c r="A199" s="7" t="s">
        <v>249</v>
      </c>
    </row>
    <row r="200">
      <c r="A200" s="7" t="s">
        <v>810</v>
      </c>
    </row>
    <row r="201">
      <c r="A201" s="7" t="s">
        <v>319</v>
      </c>
    </row>
    <row r="202">
      <c r="A202" s="7" t="s">
        <v>811</v>
      </c>
    </row>
    <row r="203">
      <c r="A203" s="7" t="s">
        <v>253</v>
      </c>
    </row>
    <row r="204">
      <c r="A204" s="7" t="s">
        <v>738</v>
      </c>
    </row>
    <row r="205">
      <c r="A205" s="7" t="s">
        <v>812</v>
      </c>
    </row>
    <row r="206">
      <c r="A206" s="7" t="s">
        <v>813</v>
      </c>
    </row>
    <row r="207">
      <c r="A207" s="7" t="s">
        <v>256</v>
      </c>
    </row>
    <row r="208">
      <c r="A208" s="7" t="s">
        <v>814</v>
      </c>
    </row>
    <row r="209">
      <c r="A209" s="7" t="s">
        <v>259</v>
      </c>
    </row>
    <row r="210">
      <c r="A210" s="7" t="s">
        <v>815</v>
      </c>
    </row>
    <row r="211">
      <c r="A211" s="7" t="s">
        <v>261</v>
      </c>
    </row>
    <row r="212">
      <c r="A212" s="7" t="s">
        <v>816</v>
      </c>
    </row>
    <row r="213">
      <c r="A213" s="7" t="s">
        <v>263</v>
      </c>
    </row>
    <row r="214">
      <c r="A214" s="7" t="s">
        <v>817</v>
      </c>
    </row>
    <row r="215">
      <c r="A215" s="7" t="s">
        <v>818</v>
      </c>
    </row>
    <row r="216">
      <c r="A216" s="7" t="s">
        <v>267</v>
      </c>
    </row>
    <row r="217">
      <c r="A217" s="7" t="s">
        <v>819</v>
      </c>
    </row>
    <row r="218">
      <c r="A218" s="7" t="s">
        <v>272</v>
      </c>
    </row>
    <row r="219">
      <c r="A219" s="7" t="s">
        <v>273</v>
      </c>
    </row>
    <row r="220">
      <c r="A220" s="7" t="s">
        <v>440</v>
      </c>
    </row>
    <row r="221">
      <c r="A221" s="7" t="s">
        <v>13</v>
      </c>
    </row>
    <row r="222">
      <c r="A222" s="7" t="s">
        <v>443</v>
      </c>
    </row>
    <row r="223">
      <c r="A223" s="7" t="s">
        <v>820</v>
      </c>
    </row>
    <row r="224">
      <c r="A224" s="7" t="s">
        <v>453</v>
      </c>
    </row>
    <row r="225">
      <c r="A225" s="7" t="s">
        <v>821</v>
      </c>
    </row>
    <row r="226">
      <c r="A226" s="7" t="s">
        <v>822</v>
      </c>
    </row>
    <row r="227">
      <c r="A227" s="7" t="s">
        <v>823</v>
      </c>
    </row>
    <row r="228">
      <c r="A228" s="7" t="s">
        <v>824</v>
      </c>
    </row>
    <row r="229">
      <c r="A229" s="7" t="s">
        <v>360</v>
      </c>
    </row>
    <row r="230">
      <c r="A230" s="7" t="s">
        <v>825</v>
      </c>
    </row>
    <row r="231">
      <c r="A231" s="7" t="s">
        <v>826</v>
      </c>
    </row>
    <row r="232">
      <c r="A232" s="7" t="s">
        <v>692</v>
      </c>
    </row>
    <row r="233">
      <c r="A233" s="7" t="s">
        <v>827</v>
      </c>
    </row>
    <row r="234">
      <c r="A234" s="7" t="s">
        <v>828</v>
      </c>
    </row>
    <row r="235">
      <c r="A235" s="7" t="s">
        <v>707</v>
      </c>
    </row>
    <row r="236">
      <c r="A236" s="7" t="s">
        <v>829</v>
      </c>
    </row>
    <row r="237">
      <c r="A237" s="7" t="s">
        <v>830</v>
      </c>
    </row>
    <row r="238">
      <c r="A238" s="7" t="s">
        <v>831</v>
      </c>
    </row>
    <row r="239">
      <c r="A239" s="7" t="s">
        <v>279</v>
      </c>
    </row>
    <row r="240">
      <c r="A240" s="7" t="s">
        <v>125</v>
      </c>
    </row>
    <row r="241">
      <c r="A241" s="7" t="s">
        <v>832</v>
      </c>
    </row>
    <row r="242">
      <c r="A242" s="7" t="s">
        <v>171</v>
      </c>
    </row>
    <row r="243">
      <c r="A243" s="7" t="s">
        <v>833</v>
      </c>
    </row>
    <row r="244">
      <c r="A244" s="7" t="s">
        <v>179</v>
      </c>
    </row>
    <row r="245">
      <c r="A245" s="7" t="s">
        <v>368</v>
      </c>
    </row>
    <row r="246">
      <c r="A246" s="7" t="s">
        <v>184</v>
      </c>
    </row>
    <row r="247">
      <c r="A247" s="7" t="s">
        <v>834</v>
      </c>
    </row>
    <row r="248">
      <c r="A248" s="7" t="s">
        <v>200</v>
      </c>
    </row>
    <row r="249">
      <c r="A249" s="7" t="s">
        <v>835</v>
      </c>
    </row>
    <row r="250">
      <c r="A250" s="7" t="s">
        <v>207</v>
      </c>
    </row>
    <row r="251">
      <c r="A251" s="7" t="s">
        <v>836</v>
      </c>
    </row>
    <row r="252">
      <c r="A252" s="7" t="s">
        <v>220</v>
      </c>
    </row>
    <row r="253">
      <c r="A253" s="7" t="s">
        <v>837</v>
      </c>
    </row>
    <row r="254">
      <c r="A254" s="7" t="s">
        <v>358</v>
      </c>
    </row>
    <row r="255">
      <c r="A255" s="7" t="s">
        <v>246</v>
      </c>
    </row>
    <row r="256">
      <c r="A256" s="7" t="s">
        <v>721</v>
      </c>
    </row>
    <row r="257">
      <c r="A257" s="7" t="s">
        <v>367</v>
      </c>
    </row>
    <row r="258">
      <c r="A258" s="7" t="s">
        <v>838</v>
      </c>
    </row>
    <row r="259">
      <c r="A259" s="7" t="s">
        <v>204</v>
      </c>
    </row>
    <row r="260">
      <c r="A260" s="7" t="s">
        <v>839</v>
      </c>
    </row>
    <row r="261">
      <c r="A261" s="7" t="s">
        <v>379</v>
      </c>
    </row>
    <row r="262">
      <c r="A262" s="7" t="s">
        <v>420</v>
      </c>
    </row>
    <row r="263">
      <c r="A263" s="7" t="s">
        <v>840</v>
      </c>
    </row>
    <row r="264">
      <c r="A264" s="7" t="s">
        <v>841</v>
      </c>
    </row>
    <row r="265">
      <c r="A265" s="7" t="s">
        <v>842</v>
      </c>
    </row>
    <row r="266">
      <c r="A266" s="7" t="s">
        <v>843</v>
      </c>
    </row>
    <row r="267">
      <c r="A267" s="7" t="s">
        <v>844</v>
      </c>
    </row>
    <row r="268">
      <c r="A268" s="7" t="s">
        <v>845</v>
      </c>
    </row>
    <row r="269">
      <c r="A269" s="7" t="s">
        <v>846</v>
      </c>
    </row>
    <row r="270">
      <c r="A270" s="7" t="s">
        <v>409</v>
      </c>
    </row>
    <row r="271">
      <c r="A271" s="7" t="s">
        <v>847</v>
      </c>
    </row>
    <row r="272">
      <c r="A272" s="7" t="s">
        <v>848</v>
      </c>
    </row>
    <row r="273">
      <c r="A273" s="7" t="s">
        <v>849</v>
      </c>
    </row>
    <row r="274">
      <c r="A274" s="7" t="s">
        <v>134</v>
      </c>
    </row>
    <row r="275">
      <c r="A275" s="7" t="s">
        <v>199</v>
      </c>
    </row>
    <row r="276">
      <c r="A276" s="7" t="s">
        <v>850</v>
      </c>
    </row>
    <row r="277">
      <c r="A277" s="7" t="s">
        <v>439</v>
      </c>
    </row>
    <row r="278">
      <c r="A278" s="7" t="s">
        <v>851</v>
      </c>
    </row>
    <row r="279">
      <c r="A279" s="7" t="s">
        <v>852</v>
      </c>
    </row>
    <row r="280">
      <c r="A280" s="7" t="s">
        <v>442</v>
      </c>
    </row>
    <row r="281">
      <c r="A281" s="7" t="s">
        <v>238</v>
      </c>
    </row>
    <row r="282">
      <c r="A282" s="7" t="s">
        <v>113</v>
      </c>
    </row>
    <row r="283">
      <c r="A283" s="7" t="s">
        <v>853</v>
      </c>
    </row>
    <row r="284">
      <c r="A284" s="7" t="s">
        <v>627</v>
      </c>
    </row>
    <row r="285">
      <c r="A285" s="7" t="s">
        <v>180</v>
      </c>
    </row>
    <row r="286">
      <c r="A286" s="7" t="s">
        <v>854</v>
      </c>
    </row>
    <row r="287">
      <c r="A287" s="7" t="s">
        <v>855</v>
      </c>
    </row>
    <row r="288">
      <c r="A288" s="7" t="s">
        <v>508</v>
      </c>
    </row>
    <row r="289">
      <c r="A289" s="7" t="s">
        <v>460</v>
      </c>
    </row>
    <row r="290">
      <c r="A290" s="7" t="s">
        <v>67</v>
      </c>
    </row>
    <row r="291">
      <c r="A291" s="7" t="s">
        <v>413</v>
      </c>
    </row>
    <row r="292">
      <c r="A292" s="7" t="s">
        <v>856</v>
      </c>
    </row>
    <row r="293">
      <c r="A293" s="7" t="s">
        <v>305</v>
      </c>
    </row>
    <row r="294">
      <c r="A294" s="7" t="s">
        <v>446</v>
      </c>
    </row>
    <row r="295">
      <c r="A295" s="7" t="s">
        <v>857</v>
      </c>
    </row>
    <row r="296">
      <c r="A296" s="7" t="s">
        <v>82</v>
      </c>
    </row>
    <row r="297">
      <c r="A297" s="7" t="s">
        <v>183</v>
      </c>
    </row>
    <row r="298">
      <c r="A298" s="7" t="s">
        <v>321</v>
      </c>
    </row>
    <row r="299">
      <c r="A299" s="7" t="s">
        <v>403</v>
      </c>
    </row>
    <row r="300">
      <c r="A300" s="7" t="s">
        <v>858</v>
      </c>
    </row>
    <row r="301">
      <c r="A301" s="7" t="s">
        <v>859</v>
      </c>
    </row>
    <row r="302">
      <c r="A302" s="7" t="s">
        <v>860</v>
      </c>
    </row>
    <row r="303">
      <c r="A303" s="7" t="s">
        <v>454</v>
      </c>
    </row>
    <row r="304">
      <c r="A304" s="7" t="s">
        <v>861</v>
      </c>
    </row>
    <row r="305">
      <c r="A305" s="7" t="s">
        <v>862</v>
      </c>
    </row>
    <row r="306">
      <c r="A306" s="7" t="s">
        <v>863</v>
      </c>
    </row>
    <row r="307">
      <c r="A307" s="7" t="s">
        <v>864</v>
      </c>
    </row>
    <row r="308">
      <c r="A308" s="7" t="s">
        <v>336</v>
      </c>
    </row>
    <row r="309">
      <c r="A309" s="7" t="s">
        <v>865</v>
      </c>
      <c r="B309" s="7" t="s">
        <v>14</v>
      </c>
      <c r="C309" s="7" t="s">
        <v>866</v>
      </c>
    </row>
    <row r="310">
      <c r="C310" s="7" t="s">
        <v>867</v>
      </c>
      <c r="D310" s="7" t="s">
        <v>14</v>
      </c>
      <c r="E310" s="7" t="s">
        <v>868</v>
      </c>
    </row>
    <row r="311">
      <c r="E311" s="7" t="s">
        <v>869</v>
      </c>
      <c r="F311" s="7" t="s">
        <v>14</v>
      </c>
      <c r="G311" s="7" t="s">
        <v>870</v>
      </c>
    </row>
    <row r="312">
      <c r="G312" s="7" t="s">
        <v>871</v>
      </c>
      <c r="H312" s="7" t="s">
        <v>14</v>
      </c>
      <c r="I312" s="7" t="s">
        <v>872</v>
      </c>
    </row>
    <row r="313">
      <c r="I313" s="7" t="s">
        <v>873</v>
      </c>
      <c r="J313" s="7" t="s">
        <v>14</v>
      </c>
      <c r="K313" s="7" t="s">
        <v>874</v>
      </c>
    </row>
    <row r="314">
      <c r="K314" s="7" t="s">
        <v>875</v>
      </c>
      <c r="L314" s="7" t="s">
        <v>14</v>
      </c>
      <c r="M314" s="7" t="s">
        <v>876</v>
      </c>
    </row>
    <row r="315">
      <c r="M315" s="7" t="s">
        <v>877</v>
      </c>
      <c r="N315" s="7" t="s">
        <v>14</v>
      </c>
      <c r="O315" s="7" t="s">
        <v>878</v>
      </c>
    </row>
    <row r="316">
      <c r="O316" s="7" t="s">
        <v>879</v>
      </c>
      <c r="P316" s="7" t="s">
        <v>14</v>
      </c>
      <c r="Q316" s="7" t="s">
        <v>866</v>
      </c>
    </row>
    <row r="317">
      <c r="Q317" s="7" t="s">
        <v>880</v>
      </c>
      <c r="R317" s="7" t="s">
        <v>14</v>
      </c>
      <c r="S317" s="7" t="s">
        <v>866</v>
      </c>
    </row>
    <row r="318">
      <c r="S318" s="7" t="s">
        <v>881</v>
      </c>
      <c r="T318" s="7" t="s">
        <v>14</v>
      </c>
      <c r="U318" s="7" t="s">
        <v>882</v>
      </c>
    </row>
    <row r="319">
      <c r="U319" s="7" t="s">
        <v>883</v>
      </c>
      <c r="V319" s="7" t="s">
        <v>14</v>
      </c>
      <c r="W319" s="7" t="s">
        <v>884</v>
      </c>
    </row>
    <row r="320">
      <c r="W320" s="7" t="s">
        <v>885</v>
      </c>
      <c r="X320" s="7" t="s">
        <v>14</v>
      </c>
      <c r="Y320" s="7" t="s">
        <v>886</v>
      </c>
    </row>
    <row r="321">
      <c r="Y321" s="7" t="s">
        <v>887</v>
      </c>
      <c r="Z321" s="7" t="s">
        <v>14</v>
      </c>
      <c r="AA321" s="7" t="s">
        <v>866</v>
      </c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>
      <c r="AA322" s="7" t="s">
        <v>888</v>
      </c>
      <c r="AB322" s="7" t="s">
        <v>14</v>
      </c>
      <c r="AC322" s="7" t="s">
        <v>866</v>
      </c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>
      <c r="AC323" s="7" t="s">
        <v>889</v>
      </c>
      <c r="AD323" s="7" t="s">
        <v>14</v>
      </c>
      <c r="AE323" s="7" t="s">
        <v>890</v>
      </c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>
      <c r="AE324" s="7" t="s">
        <v>891</v>
      </c>
      <c r="AF324" s="7" t="s">
        <v>14</v>
      </c>
      <c r="AG324" s="7" t="s">
        <v>892</v>
      </c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>
      <c r="AG325" s="7" t="s">
        <v>893</v>
      </c>
      <c r="AH325" s="7" t="s">
        <v>14</v>
      </c>
      <c r="AI325" s="7" t="s">
        <v>866</v>
      </c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>
      <c r="AI326" s="7" t="s">
        <v>894</v>
      </c>
      <c r="AJ326" s="7" t="s">
        <v>14</v>
      </c>
      <c r="AK326" s="7" t="s">
        <v>866</v>
      </c>
      <c r="AL326" s="7"/>
      <c r="AM326" s="7"/>
      <c r="AN326" s="7"/>
      <c r="AO326" s="7"/>
      <c r="AP326" s="7"/>
      <c r="AQ326" s="7"/>
      <c r="AR326" s="7"/>
      <c r="AS326" s="7"/>
    </row>
    <row r="327">
      <c r="AK327" s="7" t="s">
        <v>895</v>
      </c>
      <c r="AL327" s="7" t="s">
        <v>14</v>
      </c>
      <c r="AM327" s="7" t="s">
        <v>896</v>
      </c>
      <c r="AN327" s="7"/>
      <c r="AO327" s="7"/>
      <c r="AP327" s="7"/>
      <c r="AQ327" s="7"/>
      <c r="AR327" s="7"/>
      <c r="AS327" s="7"/>
    </row>
    <row r="328">
      <c r="AM328" s="7" t="s">
        <v>897</v>
      </c>
      <c r="AN328" s="7" t="s">
        <v>14</v>
      </c>
      <c r="AO328" s="7" t="s">
        <v>898</v>
      </c>
      <c r="AP328" s="7"/>
      <c r="AQ328" s="7"/>
      <c r="AR328" s="7"/>
      <c r="AS328" s="7"/>
    </row>
    <row r="329">
      <c r="AO329" s="7" t="s">
        <v>899</v>
      </c>
      <c r="AP329" s="7" t="s">
        <v>14</v>
      </c>
      <c r="AQ329" s="7" t="s">
        <v>900</v>
      </c>
      <c r="AR329" s="7"/>
      <c r="AS329" s="7"/>
    </row>
    <row r="330">
      <c r="AQ330" s="7" t="s">
        <v>456</v>
      </c>
      <c r="AR330" s="7" t="s">
        <v>14</v>
      </c>
      <c r="AS330" s="7" t="s">
        <v>866</v>
      </c>
    </row>
  </sheetData>
  <conditionalFormatting sqref="A502:A512">
    <cfRule type="expression" dxfId="0" priority="1">
      <formula>$H502 &gt; 6</formula>
    </cfRule>
  </conditionalFormatting>
  <conditionalFormatting sqref="A502:A512">
    <cfRule type="cellIs" dxfId="9" priority="2" operator="lessThan">
      <formula>-1</formula>
    </cfRule>
  </conditionalFormatting>
  <conditionalFormatting sqref="A502:A512">
    <cfRule type="expression" dxfId="4" priority="3">
      <formula>$G502 &gt; 30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21.75"/>
    <col customWidth="1" min="4" max="4" width="24.13"/>
    <col customWidth="1" min="6" max="6" width="19.38"/>
  </cols>
  <sheetData>
    <row r="1">
      <c r="A1" s="158"/>
      <c r="B1" s="158" t="s">
        <v>901</v>
      </c>
      <c r="C1" s="158" t="s">
        <v>902</v>
      </c>
      <c r="D1" s="158" t="s">
        <v>903</v>
      </c>
      <c r="E1" s="159"/>
      <c r="F1" s="158" t="s">
        <v>904</v>
      </c>
    </row>
    <row r="2">
      <c r="A2" s="158"/>
      <c r="B2" s="159"/>
      <c r="C2" s="159"/>
      <c r="D2" s="160"/>
      <c r="E2" s="159"/>
      <c r="F2" s="158"/>
    </row>
    <row r="3">
      <c r="A3" s="158"/>
      <c r="B3" s="159"/>
      <c r="C3" s="159"/>
      <c r="D3" s="160"/>
      <c r="E3" s="159"/>
      <c r="F3" s="158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"/>
      <c r="C1" s="161" t="s">
        <v>527</v>
      </c>
    </row>
    <row r="2">
      <c r="A2" s="104"/>
      <c r="C2" s="162" t="s">
        <v>528</v>
      </c>
    </row>
    <row r="3">
      <c r="A3" s="104"/>
      <c r="C3" s="161" t="s">
        <v>529</v>
      </c>
    </row>
    <row r="4">
      <c r="A4" s="104"/>
      <c r="C4" s="162" t="s">
        <v>530</v>
      </c>
    </row>
    <row r="5">
      <c r="A5" s="104"/>
      <c r="C5" s="161" t="s">
        <v>531</v>
      </c>
    </row>
    <row r="6">
      <c r="A6" s="104"/>
      <c r="C6" s="162" t="s">
        <v>905</v>
      </c>
    </row>
    <row r="7">
      <c r="A7" s="104"/>
      <c r="C7" s="161" t="s">
        <v>533</v>
      </c>
    </row>
    <row r="8">
      <c r="A8" s="104"/>
      <c r="C8" s="162" t="s">
        <v>534</v>
      </c>
    </row>
    <row r="9">
      <c r="A9" s="104"/>
      <c r="C9" s="161" t="s">
        <v>535</v>
      </c>
    </row>
    <row r="10">
      <c r="A10" s="104"/>
      <c r="C10" s="162" t="s">
        <v>536</v>
      </c>
    </row>
    <row r="11">
      <c r="A11" s="104"/>
      <c r="C11" s="161" t="s">
        <v>537</v>
      </c>
    </row>
    <row r="12">
      <c r="A12" s="104"/>
      <c r="C12" s="162" t="s">
        <v>538</v>
      </c>
    </row>
    <row r="13">
      <c r="A13" s="104"/>
      <c r="C13" s="161" t="s">
        <v>539</v>
      </c>
    </row>
    <row r="14">
      <c r="A14" s="104"/>
      <c r="C14" s="162" t="s">
        <v>540</v>
      </c>
    </row>
    <row r="15">
      <c r="A15" s="43"/>
      <c r="C15" s="161" t="s">
        <v>541</v>
      </c>
    </row>
    <row r="16">
      <c r="A16" s="43"/>
      <c r="C16" s="162" t="s">
        <v>542</v>
      </c>
    </row>
    <row r="17">
      <c r="A17" s="43"/>
      <c r="C17" s="161" t="s">
        <v>543</v>
      </c>
    </row>
    <row r="18">
      <c r="A18" s="43"/>
      <c r="C18" s="162" t="s">
        <v>544</v>
      </c>
    </row>
    <row r="19">
      <c r="A19" s="43"/>
      <c r="C19" s="161" t="s">
        <v>545</v>
      </c>
    </row>
    <row r="20">
      <c r="C20" s="162" t="s">
        <v>546</v>
      </c>
    </row>
    <row r="21">
      <c r="C21" s="161" t="s">
        <v>547</v>
      </c>
    </row>
  </sheetData>
  <drawing r:id="rId1"/>
</worksheet>
</file>